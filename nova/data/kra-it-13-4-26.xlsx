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1-3-2026\"/>
    </mc:Choice>
  </mc:AlternateContent>
  <xr:revisionPtr revIDLastSave="0" documentId="13_ncr:2001_{A7F2094E-55F5-4713-BF62-E79675365D87}" xr6:coauthVersionLast="47" xr6:coauthVersionMax="47" xr10:uidLastSave="{00000000-0000-0000-0000-000000000000}"/>
  <bookViews>
    <workbookView xWindow="-108" yWindow="-108" windowWidth="23256" windowHeight="12456" tabRatio="571" firstSheet="1" activeTab="8" xr2:uid="{00000000-000D-0000-FFFF-FFFF00000000}"/>
  </bookViews>
  <sheets>
    <sheet name="Bhupesh Sharma" sheetId="12" r:id="rId1"/>
    <sheet name="Vijay Mishra" sheetId="2" r:id="rId2"/>
    <sheet name="Sikandar Khan" sheetId="7" r:id="rId3"/>
    <sheet name="Rahul Gawri" sheetId="15" r:id="rId4"/>
    <sheet name=" Naunihal" sheetId="16" r:id="rId5"/>
    <sheet name="Raina" sheetId="19" r:id="rId6"/>
    <sheet name="Vishal" sheetId="20" r:id="rId7"/>
    <sheet name="Sarthak" sheetId="22" r:id="rId8"/>
    <sheet name="Sandeep" sheetId="24" r:id="rId9"/>
    <sheet name="Sheet7" sheetId="23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24" l="1"/>
  <c r="M18" i="24"/>
  <c r="K18" i="24"/>
  <c r="I18" i="24"/>
  <c r="F18" i="24"/>
  <c r="K21" i="2"/>
  <c r="O21" i="2"/>
  <c r="M21" i="2"/>
  <c r="I21" i="2"/>
  <c r="F21" i="2"/>
  <c r="F19" i="16"/>
  <c r="I19" i="16"/>
  <c r="K19" i="16"/>
  <c r="M19" i="16"/>
  <c r="O19" i="16"/>
  <c r="O18" i="22" l="1"/>
  <c r="M18" i="22"/>
  <c r="K18" i="22"/>
  <c r="I18" i="22"/>
  <c r="F18" i="22"/>
  <c r="O18" i="20"/>
  <c r="M18" i="20"/>
  <c r="K18" i="20"/>
  <c r="I18" i="20"/>
  <c r="F18" i="20"/>
  <c r="O23" i="19"/>
  <c r="M23" i="19"/>
  <c r="K23" i="19"/>
  <c r="I23" i="19"/>
  <c r="F23" i="19"/>
  <c r="K20" i="7" l="1"/>
  <c r="I20" i="7"/>
  <c r="I20" i="12" l="1"/>
  <c r="F20" i="12"/>
  <c r="O21" i="15"/>
  <c r="O20" i="7"/>
  <c r="O20" i="12"/>
  <c r="M21" i="15"/>
  <c r="M20" i="7"/>
  <c r="M20" i="12"/>
  <c r="K21" i="15"/>
  <c r="K20" i="12"/>
  <c r="I21" i="15" l="1"/>
  <c r="F21" i="15" l="1"/>
  <c r="F20" i="7"/>
</calcChain>
</file>

<file path=xl/sharedStrings.xml><?xml version="1.0" encoding="utf-8"?>
<sst xmlns="http://schemas.openxmlformats.org/spreadsheetml/2006/main" count="758" uniqueCount="158">
  <si>
    <t>Format No:
Issue Date:
Rev:</t>
  </si>
  <si>
    <t>Sr. No</t>
  </si>
  <si>
    <t>Perspective</t>
  </si>
  <si>
    <t>KRA</t>
  </si>
  <si>
    <t>KPI - Measure KRA</t>
  </si>
  <si>
    <t>UOM</t>
  </si>
  <si>
    <t>Weightage</t>
  </si>
  <si>
    <t>Q3</t>
  </si>
  <si>
    <t>Q4</t>
  </si>
  <si>
    <t>Target</t>
  </si>
  <si>
    <t>Achieved</t>
  </si>
  <si>
    <t>Days</t>
  </si>
  <si>
    <t>Hardware - Installation, Configuration &amp; Troubleshooting</t>
  </si>
  <si>
    <t>% availability</t>
  </si>
  <si>
    <t>Network Administration</t>
  </si>
  <si>
    <t>Software - Installation, Configuration &amp; Troubleshooting</t>
  </si>
  <si>
    <t xml:space="preserve">CCTV - Monitoring </t>
  </si>
  <si>
    <t>Hours</t>
  </si>
  <si>
    <t>Skill Up &amp; PMS</t>
  </si>
  <si>
    <t>SAP Implementation</t>
  </si>
  <si>
    <t>Training on SAP for users</t>
  </si>
  <si>
    <t>%</t>
  </si>
  <si>
    <t>&gt;90% coverage of users</t>
  </si>
  <si>
    <t>&gt;90%</t>
  </si>
  <si>
    <t>Hours/Days</t>
  </si>
  <si>
    <t>Cloud Management</t>
  </si>
  <si>
    <t>Maintenance of VPN Services</t>
  </si>
  <si>
    <t>Daily</t>
  </si>
  <si>
    <t>As per Need</t>
  </si>
  <si>
    <t>Call Management for hardware complaints</t>
  </si>
  <si>
    <t>Hrs/Days</t>
  </si>
  <si>
    <t>CCTV - New Requirement/Shifting (Assessment of Work)</t>
  </si>
  <si>
    <t>Seamless interconnectivity between systems through switches, LAN and firewalls</t>
  </si>
  <si>
    <t>Call Management for software complaints</t>
  </si>
  <si>
    <t>As per need</t>
  </si>
  <si>
    <t xml:space="preserve">Engaging for people development, nomination of team for training and development
</t>
  </si>
  <si>
    <t xml:space="preserve">1. As per competency list  
2. Nomination &gt;80%         </t>
  </si>
  <si>
    <t>RFQ Management System (EXCELLETA)</t>
  </si>
  <si>
    <t>Implement and Maintain system as per User requirements</t>
  </si>
  <si>
    <t>Date &amp; Days</t>
  </si>
  <si>
    <t>Manage software of Lab Instruments</t>
  </si>
  <si>
    <t>Minutes</t>
  </si>
  <si>
    <t>Desktops and Laptops</t>
  </si>
  <si>
    <t>Maintain minimal spare parts for trouble free operation of desktops &amp; laptops</t>
  </si>
  <si>
    <t>As per checklist</t>
  </si>
  <si>
    <t>Trouble free UPS backup</t>
  </si>
  <si>
    <t xml:space="preserve">Printers, LCD Projector </t>
  </si>
  <si>
    <t xml:space="preserve">Networking - switches, routers etc. </t>
  </si>
  <si>
    <t>&gt;95%</t>
  </si>
  <si>
    <t>Telecom - mobile &amp; SIMs, Intercom</t>
  </si>
  <si>
    <t>CCTV - Monitoring and Availability</t>
  </si>
  <si>
    <t>Seamless interconnectivity between systems through switches and LAN</t>
  </si>
  <si>
    <t xml:space="preserve">Windows &amp; MS Office </t>
  </si>
  <si>
    <t>Outlook - Email for end users</t>
  </si>
  <si>
    <t xml:space="preserve">SAP - Installation </t>
  </si>
  <si>
    <t xml:space="preserve">Timely closure of User service request (Minor) </t>
  </si>
  <si>
    <t xml:space="preserve">Average Timely closure of User service request (Major) </t>
  </si>
  <si>
    <t>User Satisfaction</t>
  </si>
  <si>
    <t>User (30%)</t>
  </si>
  <si>
    <t xml:space="preserve">Timely closure of User service request (Major) </t>
  </si>
  <si>
    <t>1. Assigning of calls to team: &lt;1 hours
2. Resolution: &lt;24 Hrs.</t>
  </si>
  <si>
    <t>1. Assessment of minor work: &lt;2days
2. Assessment of major work/New Installation: &lt;5 Working days
3.2. Assessment of major work/New Installation Outstation : &lt;12 Working days</t>
  </si>
  <si>
    <t>Backup, Storage and Working on Cloud</t>
  </si>
  <si>
    <t>1. &lt;6 Working hours (minor)
2. &lt; 15  Working days (major)</t>
  </si>
  <si>
    <t>OEM's Portal &amp; Requirements(Based on third Party)</t>
  </si>
  <si>
    <t>Timely Query and Issue - Handling &amp; Management(Based on Third Party)</t>
  </si>
  <si>
    <t>1. Assigning of calls to team: &lt;2 hours
2. Resolution: &lt;3 Working days</t>
  </si>
  <si>
    <t>&lt;/= 24Hrs</t>
  </si>
  <si>
    <t>&lt;/= 5 Working Days</t>
  </si>
  <si>
    <t>Timely Query and Issue - Handling &amp; Management (Based on Third Party)</t>
  </si>
  <si>
    <t>R&amp;D &amp; Design  Software Management
(AMC &amp; Renewal)</t>
  </si>
  <si>
    <t>1. Assigning of calls to team: &lt;/=2 hours
2. Resolution: &lt;/=1  day</t>
  </si>
  <si>
    <t>Negotation &amp; Procurements</t>
  </si>
  <si>
    <t>Plan V/S Actual</t>
  </si>
  <si>
    <t xml:space="preserve">Software , Hardware and other services Procurement  Renewals for compliances for smooth operations
</t>
  </si>
  <si>
    <t>1. Implemented 31st Dec'23
2. Maintain: Query resolution: &lt;= 3 Wokring days</t>
  </si>
  <si>
    <t>User (40%)</t>
  </si>
  <si>
    <t>Process
(60%)</t>
  </si>
  <si>
    <t>Q2</t>
  </si>
  <si>
    <t xml:space="preserve">Q1 </t>
  </si>
  <si>
    <t>Budgeting</t>
  </si>
  <si>
    <t>Cost saving of IT Equipments</t>
  </si>
  <si>
    <t>Finance
(10%)</t>
  </si>
  <si>
    <t>Users
(38%)</t>
  </si>
  <si>
    <t>People
(5%)</t>
  </si>
  <si>
    <t>Process
(57%)</t>
  </si>
  <si>
    <t>Users &amp; Customer Satisfaction</t>
  </si>
  <si>
    <t>Customer Audits</t>
  </si>
  <si>
    <t>Customer Audits+EHS</t>
  </si>
  <si>
    <t>No. of Improvements</t>
  </si>
  <si>
    <t>Nos.</t>
  </si>
  <si>
    <t>1/ Quarter</t>
  </si>
  <si>
    <t>Improvements</t>
  </si>
  <si>
    <t>Target
25-26</t>
  </si>
  <si>
    <t>Securing Infrastructure</t>
  </si>
  <si>
    <t xml:space="preserve">  Cyber Security</t>
  </si>
  <si>
    <t xml:space="preserve">  Security</t>
  </si>
  <si>
    <t>Developer AI programs In House</t>
  </si>
  <si>
    <t xml:space="preserve">Ai Programs/ Project </t>
  </si>
  <si>
    <t>Location:Gujarat
DOJ: 12.01.2024
Total Experience 
Experience In Bony:  
ECN-101492</t>
  </si>
  <si>
    <t>Name: Naunihal Ahmad Khan
Level:
Designation: Executive
Department: EDP
Reporting Manager Name &amp; Designation:    Plant Head  /  Mr. Bhupesh  Sr. Manager</t>
  </si>
  <si>
    <t>Name: Vijay Kumar Mishra
Level:
Designation:  Manager
Department: IT &amp; Systems
Reporting Manager Name &amp; Designation:    Mr. Bhupesh Kumar,  Sr. Manager</t>
  </si>
  <si>
    <t>Name: Sikandar Khan
Level:
Designation: Sr. Engr-IT
Department: IT &amp; Systems
Reporting Manager Name &amp; Designation: Mr. Bhupesh Kumar, Sr. Manager</t>
  </si>
  <si>
    <t xml:space="preserve">Location: Plant Bony 24
DOJ: 19.07.2010
Total Experience:   
Experience In Bony:  </t>
  </si>
  <si>
    <t>Location: Plant SF1
DOJ: 15.11.2016
Total Experience:  
Experience In Bony:  
ECN-</t>
  </si>
  <si>
    <t>Name: Rahul Gawri
Level:
Designation: Sr. Engr-IT
Department: IT &amp;Systems
Reporting Manager Name &amp; Designation: Mr. Bhupesh ,  Sr. Manager</t>
  </si>
  <si>
    <t>Name: Bhupesh Sharma
Level:
Designation: Sr. Manager
Department: IT &amp; Systems.
Reporting Manager Name &amp; Designation: Mr. Shashikanta Sahoo, CFO</t>
  </si>
  <si>
    <t>Location: Corporate
DOJ: 11.01.2021
Total Experience: 20 Years
Experience In Bony: 5.3 Years
ECN-101068</t>
  </si>
  <si>
    <t>New Item Code Open In Sap</t>
  </si>
  <si>
    <t>BP Data Management Across All Units (Both Vendors and Customers)</t>
  </si>
  <si>
    <t>Management of all corporate connections associated with Airtel (requesting new connection, SIMs, and other related matters, and coordinating with the Airtel Relationship Manager).</t>
  </si>
  <si>
    <t>System Monitoring and Problem Escalation (Hardware) — and Task Assignment to Other IT Members</t>
  </si>
  <si>
    <t>IT Asset Issuance + Record Keeping (Documentation Process)</t>
  </si>
  <si>
    <t>Generating reports within the system as required.</t>
  </si>
  <si>
    <t>Resolution of user-related issues (via email, WhatsApp chat, and calls)</t>
  </si>
  <si>
    <t>Monthly maintenance of accurate records based on AMC Vendor  Bills</t>
  </si>
  <si>
    <t>Document Generation for Inter-Unit Transfer of IT Assets</t>
  </si>
  <si>
    <t>Troubleshooting within SAP based on queries raised by users across all plants.</t>
  </si>
  <si>
    <t>Coordinating with support teams to resolve user issues for program-based products (Master India, Oswaal).</t>
  </si>
  <si>
    <t>Coordination with support teams to resolve hardware-related issues (SHARP, PEARL, etc.) raised by users.</t>
  </si>
  <si>
    <t>Inventory and Stock Correction / Verification in SAP</t>
  </si>
  <si>
    <t xml:space="preserve">Assist in providing data and powerpoint presentations as per request generated among concerned  departments </t>
  </si>
  <si>
    <t xml:space="preserve">Coordination within members of it team and resolution of concern raised </t>
  </si>
  <si>
    <t xml:space="preserve">keeping records of the meeting and sharing necessary details both before and after with IT team members </t>
  </si>
  <si>
    <t>Maint All  ITInventory - record entries</t>
  </si>
  <si>
    <t>Location: Plant  Cop.
DOJ: 1.5.2025
Total Experience:  2
Experience In Bony:  1
ECN- 101690</t>
  </si>
  <si>
    <t>Name:Raina Gupta
Level:
Designation:  Executive
Department: IT &amp;Systems
Reporting Manager Name &amp; Designation: Mr. Bhupesh  Sharma,  Sr. Manager</t>
  </si>
  <si>
    <t>User (65%)</t>
  </si>
  <si>
    <t>Process
(35%)</t>
  </si>
  <si>
    <t>Name: Vishal Tyagi
Level:
Designation:  Engr-IT
Department: IT &amp;Systems
Reporting Manager Name &amp; Designation:  Mr. Bhupesh Sharma, Sr. Manager</t>
  </si>
  <si>
    <t xml:space="preserve">Maintain minimal spare parts for trouble free operation of desktops &amp; laptops Printers </t>
  </si>
  <si>
    <t xml:space="preserve"> Backup For System &amp; laptop</t>
  </si>
  <si>
    <t xml:space="preserve"> install Windows &amp; MS Office </t>
  </si>
  <si>
    <t xml:space="preserve">Outlook - Email for end users &amp; Backup </t>
  </si>
  <si>
    <t>Desktops and Laptops Backup</t>
  </si>
  <si>
    <t>BSTL</t>
  </si>
  <si>
    <t xml:space="preserve">BSTL-  Maint Attandane </t>
  </si>
  <si>
    <t>BSTL:- Salary</t>
  </si>
  <si>
    <t>Location: Plant Corp. 37P
DOJ: 13.14.2024
Total Experience:  2.5
Experience In Bony:  2.5
ECN-</t>
  </si>
  <si>
    <t>Name: Sarthak
Level:
Designation:  Engr-IT
Department: IT &amp;Systems
Reporting Manager Name &amp; Designation:  Mr. Bhupesh Sharma, Sr. Manager</t>
  </si>
  <si>
    <t>BSTL:- Expense Bill</t>
  </si>
  <si>
    <t>Remarks:- Revise the Salary as per Market</t>
  </si>
  <si>
    <t>User 
(20%)</t>
  </si>
  <si>
    <t>ISO27001 Certification ( 8%)</t>
  </si>
  <si>
    <t>ISO27001 Certification</t>
  </si>
  <si>
    <t>Improve Information Security Management, Compliance with Legal Requirements</t>
  </si>
  <si>
    <t>AI &amp; Web application development ( 8%)</t>
  </si>
  <si>
    <t>AI &amp; Web application development</t>
  </si>
  <si>
    <t>AI tool integration, AI automation workflows, application development</t>
  </si>
  <si>
    <t>Process
(64%)</t>
  </si>
  <si>
    <t>Remarks:- Need to increase Position</t>
  </si>
  <si>
    <t xml:space="preserve"> Grade  A+</t>
  </si>
  <si>
    <t xml:space="preserve"> Grade  A</t>
  </si>
  <si>
    <t>Remarks:- Revise the Salary as per Market            Grade  A+</t>
  </si>
  <si>
    <t>Name:  Sandeep  
Level:
Designation:  Engr-IT
Department: IT &amp;Systems
Reporting Manager Name &amp; Designation:  Mr. Bhupesh Sharma, Sr. Manager</t>
  </si>
  <si>
    <t>Location: Bony-24
DOJ:  
Total Experience:  
Experience In Bony:  
ECN-</t>
  </si>
  <si>
    <t xml:space="preserve">Location: Corporate
DOJ: 
Total Experience: 
Experience In Bony:
ECN- </t>
  </si>
  <si>
    <t>Location: Plant SF1
DOJ: 15.11.2016
Total Experience:  
Experience In Bony:  10
ECN-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</si>
</sst>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FFFFFF"/>
      <name val="Calibri"/>
      <family val="2"/>
    </font>
    <font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00206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8">
    <xf numFmtId="0" fontId="0" fillId="0" borderId="0" xfId="0"/>
    <xf numFmtId="0" fontId="0" fillId="0" borderId="0" xfId="0" applyAlignment="1">
      <alignment vertical="center"/>
    </xf>
    <xf numFmtId="0" fontId="4" fillId="2" borderId="12" xfId="0" applyFont="1" applyFill="1" applyBorder="1" applyAlignment="1">
      <alignment horizontal="center" vertical="center" wrapText="1" readingOrder="1"/>
    </xf>
    <xf numFmtId="1" fontId="4" fillId="2" borderId="12" xfId="0" applyNumberFormat="1" applyFont="1" applyFill="1" applyBorder="1" applyAlignment="1">
      <alignment horizontal="center" vertical="center" wrapText="1" readingOrder="1"/>
    </xf>
    <xf numFmtId="1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8" fillId="4" borderId="13" xfId="0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horizontal="left" vertical="center" wrapText="1" readingOrder="1"/>
    </xf>
    <xf numFmtId="0" fontId="10" fillId="4" borderId="13" xfId="0" applyFont="1" applyFill="1" applyBorder="1" applyAlignment="1">
      <alignment horizontal="center" vertical="center" wrapText="1" readingOrder="1"/>
    </xf>
    <xf numFmtId="9" fontId="10" fillId="4" borderId="13" xfId="0" applyNumberFormat="1" applyFont="1" applyFill="1" applyBorder="1" applyAlignment="1">
      <alignment horizontal="center" vertical="center" wrapText="1" readingOrder="1"/>
    </xf>
    <xf numFmtId="2" fontId="10" fillId="4" borderId="13" xfId="0" applyNumberFormat="1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0" fillId="4" borderId="0" xfId="0" applyFill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 readingOrder="1"/>
    </xf>
    <xf numFmtId="0" fontId="8" fillId="4" borderId="15" xfId="0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horizontal="center" vertical="top" wrapText="1" readingOrder="1"/>
    </xf>
    <xf numFmtId="0" fontId="0" fillId="4" borderId="0" xfId="0" applyFill="1"/>
    <xf numFmtId="0" fontId="10" fillId="4" borderId="13" xfId="1" applyFont="1" applyFill="1" applyBorder="1" applyAlignment="1">
      <alignment horizontal="left" vertical="top" wrapText="1" readingOrder="1"/>
    </xf>
    <xf numFmtId="9" fontId="10" fillId="4" borderId="13" xfId="1" applyNumberFormat="1" applyFont="1" applyFill="1" applyBorder="1" applyAlignment="1">
      <alignment horizontal="center" vertical="center" wrapText="1" readingOrder="1"/>
    </xf>
    <xf numFmtId="0" fontId="10" fillId="4" borderId="13" xfId="1" applyFont="1" applyFill="1" applyBorder="1" applyAlignment="1">
      <alignment horizontal="center" vertical="center" wrapText="1" readingOrder="1"/>
    </xf>
    <xf numFmtId="2" fontId="10" fillId="4" borderId="13" xfId="1" applyNumberFormat="1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horizontal="left" vertical="top" wrapText="1" readingOrder="1"/>
    </xf>
    <xf numFmtId="0" fontId="9" fillId="4" borderId="15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vertical="center" wrapText="1" readingOrder="1"/>
    </xf>
    <xf numFmtId="0" fontId="12" fillId="4" borderId="13" xfId="0" applyFont="1" applyFill="1" applyBorder="1" applyAlignment="1">
      <alignment horizontal="left" vertical="top" wrapText="1" readingOrder="1"/>
    </xf>
    <xf numFmtId="9" fontId="12" fillId="4" borderId="13" xfId="0" applyNumberFormat="1" applyFont="1" applyFill="1" applyBorder="1" applyAlignment="1">
      <alignment horizontal="center" vertical="top" wrapText="1" readingOrder="1"/>
    </xf>
    <xf numFmtId="2" fontId="12" fillId="4" borderId="13" xfId="0" applyNumberFormat="1" applyFont="1" applyFill="1" applyBorder="1" applyAlignment="1">
      <alignment horizontal="center" vertical="top" wrapText="1" readingOrder="1"/>
    </xf>
    <xf numFmtId="2" fontId="12" fillId="4" borderId="13" xfId="0" applyNumberFormat="1" applyFont="1" applyFill="1" applyBorder="1" applyAlignment="1">
      <alignment horizontal="center" vertical="center" wrapText="1" readingOrder="1"/>
    </xf>
    <xf numFmtId="0" fontId="12" fillId="4" borderId="13" xfId="0" applyFont="1" applyFill="1" applyBorder="1" applyAlignment="1">
      <alignment horizontal="center" vertical="top" wrapText="1" readingOrder="1"/>
    </xf>
    <xf numFmtId="0" fontId="10" fillId="4" borderId="0" xfId="0" applyFont="1" applyFill="1" applyAlignment="1">
      <alignment horizontal="left" vertical="top" wrapText="1" readingOrder="1"/>
    </xf>
    <xf numFmtId="2" fontId="10" fillId="4" borderId="0" xfId="0" applyNumberFormat="1" applyFont="1" applyFill="1" applyAlignment="1">
      <alignment horizontal="left" vertical="center" wrapText="1" readingOrder="1"/>
    </xf>
    <xf numFmtId="0" fontId="10" fillId="4" borderId="0" xfId="0" applyFont="1" applyFill="1" applyAlignment="1">
      <alignment horizontal="left" vertical="center" wrapText="1" readingOrder="1"/>
    </xf>
    <xf numFmtId="0" fontId="11" fillId="4" borderId="0" xfId="0" applyFont="1" applyFill="1"/>
    <xf numFmtId="2" fontId="0" fillId="4" borderId="0" xfId="0" applyNumberFormat="1" applyFill="1" applyAlignment="1">
      <alignment vertical="center"/>
    </xf>
    <xf numFmtId="1" fontId="10" fillId="4" borderId="13" xfId="0" applyNumberFormat="1" applyFont="1" applyFill="1" applyBorder="1" applyAlignment="1">
      <alignment horizontal="center" vertical="center" wrapText="1" readingOrder="1"/>
    </xf>
    <xf numFmtId="9" fontId="12" fillId="4" borderId="13" xfId="0" applyNumberFormat="1" applyFont="1" applyFill="1" applyBorder="1" applyAlignment="1">
      <alignment horizontal="center" vertical="center" wrapText="1" readingOrder="1"/>
    </xf>
    <xf numFmtId="0" fontId="12" fillId="4" borderId="13" xfId="0" applyFont="1" applyFill="1" applyBorder="1" applyAlignment="1">
      <alignment horizontal="center" vertical="center" wrapText="1" readingOrder="1"/>
    </xf>
    <xf numFmtId="1" fontId="12" fillId="4" borderId="13" xfId="0" applyNumberFormat="1" applyFont="1" applyFill="1" applyBorder="1" applyAlignment="1">
      <alignment horizontal="center" vertical="center" wrapText="1" readingOrder="1"/>
    </xf>
    <xf numFmtId="0" fontId="11" fillId="4" borderId="0" xfId="0" applyFont="1" applyFill="1" applyAlignment="1">
      <alignment vertical="center"/>
    </xf>
    <xf numFmtId="0" fontId="12" fillId="4" borderId="13" xfId="0" applyFont="1" applyFill="1" applyBorder="1" applyAlignment="1">
      <alignment horizontal="left" vertical="center" wrapText="1" readingOrder="1"/>
    </xf>
    <xf numFmtId="9" fontId="12" fillId="4" borderId="13" xfId="0" applyNumberFormat="1" applyFont="1" applyFill="1" applyBorder="1" applyAlignment="1">
      <alignment horizontal="left" vertical="center" wrapText="1" readingOrder="1"/>
    </xf>
    <xf numFmtId="1" fontId="10" fillId="4" borderId="13" xfId="0" applyNumberFormat="1" applyFont="1" applyFill="1" applyBorder="1" applyAlignment="1">
      <alignment horizontal="center" wrapText="1" readingOrder="1"/>
    </xf>
    <xf numFmtId="1" fontId="12" fillId="4" borderId="13" xfId="0" applyNumberFormat="1" applyFont="1" applyFill="1" applyBorder="1" applyAlignment="1">
      <alignment horizontal="center" vertical="top" wrapText="1" readingOrder="1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13" fillId="4" borderId="2" xfId="0" applyFont="1" applyFill="1" applyBorder="1" applyAlignment="1">
      <alignment horizontal="left" vertical="top" wrapText="1"/>
    </xf>
    <xf numFmtId="0" fontId="13" fillId="4" borderId="3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6" xfId="0" applyFont="1" applyFill="1" applyBorder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13" fillId="4" borderId="7" xfId="0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 wrapText="1"/>
    </xf>
    <xf numFmtId="0" fontId="13" fillId="4" borderId="10" xfId="0" applyFont="1" applyFill="1" applyBorder="1" applyAlignment="1">
      <alignment horizontal="left" vertical="top" wrapText="1"/>
    </xf>
    <xf numFmtId="0" fontId="13" fillId="4" borderId="1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4" borderId="11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4" borderId="7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left" vertical="top"/>
    </xf>
    <xf numFmtId="0" fontId="8" fillId="4" borderId="12" xfId="0" applyFont="1" applyFill="1" applyBorder="1" applyAlignment="1">
      <alignment horizontal="center" vertical="center" wrapText="1" readingOrder="1"/>
    </xf>
    <xf numFmtId="0" fontId="8" fillId="4" borderId="14" xfId="0" applyFont="1" applyFill="1" applyBorder="1" applyAlignment="1">
      <alignment horizontal="center" vertical="center" wrapText="1" readingOrder="1"/>
    </xf>
    <xf numFmtId="0" fontId="8" fillId="4" borderId="15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 wrapText="1" readingOrder="1"/>
    </xf>
    <xf numFmtId="0" fontId="4" fillId="2" borderId="14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vertical="center" wrapText="1" readingOrder="1"/>
    </xf>
    <xf numFmtId="0" fontId="4" fillId="2" borderId="14" xfId="0" applyFont="1" applyFill="1" applyBorder="1" applyAlignment="1">
      <alignment vertical="center" wrapText="1" readingOrder="1"/>
    </xf>
    <xf numFmtId="0" fontId="5" fillId="2" borderId="12" xfId="0" applyFont="1" applyFill="1" applyBorder="1" applyAlignment="1">
      <alignment horizontal="center" vertical="center" wrapText="1" readingOrder="1"/>
    </xf>
    <xf numFmtId="0" fontId="5" fillId="2" borderId="14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left" vertical="center" readingOrder="1"/>
    </xf>
    <xf numFmtId="0" fontId="15" fillId="0" borderId="13" xfId="0" applyFont="1" applyBorder="1" applyAlignment="1">
      <alignment horizontal="left" vertical="center" wrapText="1" readingOrder="1"/>
    </xf>
    <xf numFmtId="0" fontId="0" fillId="0" borderId="13" xfId="0" applyBorder="1"/>
    <xf numFmtId="0" fontId="16" fillId="0" borderId="0" xfId="0" applyFont="1" applyAlignment="1">
      <alignment horizontal="left" vertical="center" wrapText="1" readingOrder="1"/>
    </xf>
    <xf numFmtId="0" fontId="0" fillId="0" borderId="13" xfId="0" applyBorder="1" applyAlignment="1">
      <alignment wrapText="1"/>
    </xf>
    <xf numFmtId="0" fontId="15" fillId="0" borderId="13" xfId="0" applyFont="1" applyBorder="1" applyAlignment="1">
      <alignment wrapText="1"/>
    </xf>
    <xf numFmtId="0" fontId="9" fillId="4" borderId="16" xfId="0" applyFont="1" applyFill="1" applyBorder="1" applyAlignment="1">
      <alignment horizontal="center" vertical="center" wrapText="1" readingOrder="1"/>
    </xf>
    <xf numFmtId="0" fontId="12" fillId="4" borderId="16" xfId="0" applyFont="1" applyFill="1" applyBorder="1" applyAlignment="1">
      <alignment horizontal="left" vertical="center" wrapText="1" readingOrder="1"/>
    </xf>
    <xf numFmtId="0" fontId="0" fillId="4" borderId="13" xfId="0" applyFill="1" applyBorder="1" applyAlignment="1">
      <alignment vertical="center"/>
    </xf>
    <xf numFmtId="164" fontId="10" fillId="4" borderId="13" xfId="0" applyNumberFormat="1" applyFont="1" applyFill="1" applyBorder="1" applyAlignment="1">
      <alignment horizontal="center" vertical="center" wrapText="1" readingOrder="1"/>
    </xf>
    <xf numFmtId="164" fontId="12" fillId="4" borderId="13" xfId="0" applyNumberFormat="1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 readingOrder="1"/>
    </xf>
    <xf numFmtId="0" fontId="9" fillId="4" borderId="14" xfId="0" applyFont="1" applyFill="1" applyBorder="1" applyAlignment="1">
      <alignment horizontal="center" vertical="center" wrapText="1" readingOrder="1"/>
    </xf>
    <xf numFmtId="0" fontId="9" fillId="4" borderId="15" xfId="0" applyFont="1" applyFill="1" applyBorder="1" applyAlignment="1">
      <alignment horizontal="center" vertical="center" wrapText="1" readingOrder="1"/>
    </xf>
    <xf numFmtId="0" fontId="14" fillId="4" borderId="0" xfId="0" applyFont="1" applyFill="1" applyAlignment="1">
      <alignment vertical="center"/>
    </xf>
    <xf numFmtId="0" fontId="10" fillId="3" borderId="13" xfId="0" applyFont="1" applyFill="1" applyBorder="1" applyAlignment="1">
      <alignment horizontal="left" vertical="top" wrapText="1" readingOrder="1"/>
    </xf>
    <xf numFmtId="0" fontId="10" fillId="3" borderId="13" xfId="0" applyFont="1" applyFill="1" applyBorder="1" applyAlignment="1">
      <alignment horizontal="left" vertical="center" wrapText="1" readingOrder="1"/>
    </xf>
    <xf numFmtId="0" fontId="10" fillId="3" borderId="12" xfId="0" applyFont="1" applyFill="1" applyBorder="1" applyAlignment="1">
      <alignment horizontal="left" vertical="top" wrapText="1" readingOrder="1"/>
    </xf>
    <xf numFmtId="0" fontId="0" fillId="0" borderId="0" xfId="0" applyBorder="1"/>
    <xf numFmtId="0" fontId="16" fillId="0" borderId="0" xfId="0" applyFont="1" applyBorder="1" applyAlignment="1">
      <alignment horizontal="left" vertical="center" wrapText="1" readingOrder="1"/>
    </xf>
    <xf numFmtId="0" fontId="0" fillId="0" borderId="0" xfId="0" applyBorder="1" applyAlignment="1">
      <alignment wrapText="1"/>
    </xf>
    <xf numFmtId="0" fontId="15" fillId="0" borderId="0" xfId="0" applyFont="1" applyBorder="1" applyAlignment="1">
      <alignment wrapText="1"/>
    </xf>
    <xf numFmtId="0" fontId="10" fillId="4" borderId="12" xfId="0" applyFont="1" applyFill="1" applyBorder="1" applyAlignment="1">
      <alignment horizontal="center" vertical="center" wrapText="1" readingOrder="1"/>
    </xf>
    <xf numFmtId="0" fontId="10" fillId="4" borderId="13" xfId="0" applyFont="1" applyFill="1" applyBorder="1" applyAlignment="1">
      <alignment vertical="center" wrapText="1" readingOrder="1"/>
    </xf>
    <xf numFmtId="0" fontId="9" fillId="4" borderId="12" xfId="0" applyFont="1" applyFill="1" applyBorder="1" applyAlignment="1">
      <alignment horizontal="center" vertical="center" wrapText="1" readingOrder="1"/>
    </xf>
    <xf numFmtId="0" fontId="10" fillId="4" borderId="12" xfId="0" applyFont="1" applyFill="1" applyBorder="1" applyAlignment="1">
      <alignment vertical="center" wrapText="1" readingOrder="1"/>
    </xf>
    <xf numFmtId="9" fontId="9" fillId="4" borderId="12" xfId="0" applyNumberFormat="1" applyFont="1" applyFill="1" applyBorder="1" applyAlignment="1">
      <alignment horizontal="center" vertical="center" wrapText="1" readingOrder="1"/>
    </xf>
    <xf numFmtId="2" fontId="9" fillId="4" borderId="12" xfId="0" applyNumberFormat="1" applyFont="1" applyFill="1" applyBorder="1" applyAlignment="1">
      <alignment horizontal="center" vertical="center" wrapText="1" readingOrder="1"/>
    </xf>
    <xf numFmtId="164" fontId="9" fillId="4" borderId="12" xfId="0" applyNumberFormat="1" applyFont="1" applyFill="1" applyBorder="1" applyAlignment="1">
      <alignment horizontal="center" vertical="center" wrapText="1" readingOrder="1"/>
    </xf>
    <xf numFmtId="9" fontId="0" fillId="4" borderId="0" xfId="0" applyNumberFormat="1" applyFill="1" applyAlignment="1">
      <alignment vertical="center"/>
    </xf>
    <xf numFmtId="1" fontId="0" fillId="4" borderId="0" xfId="0" applyNumberFormat="1" applyFill="1" applyAlignment="1">
      <alignment vertical="center"/>
    </xf>
    <xf numFmtId="0" fontId="17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203200</xdr:rowOff>
    </xdr:from>
    <xdr:to>
      <xdr:col>0</xdr:col>
      <xdr:colOff>548922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3200"/>
          <a:ext cx="434622" cy="376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76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3" name="Picture 2" descr="bony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3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87E3154D-80A0-4423-A024-BA96BAA2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3" name="Picture 2" descr="bony">
          <a:extLst>
            <a:ext uri="{FF2B5EF4-FFF2-40B4-BE49-F238E27FC236}">
              <a16:creationId xmlns:a16="http://schemas.microsoft.com/office/drawing/2014/main" id="{5E78A9B4-EB45-476C-9A22-9A4287DB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4A1D96D7-2607-40E7-9F4C-CC47CB9A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3" name="Picture 2" descr="bony">
          <a:extLst>
            <a:ext uri="{FF2B5EF4-FFF2-40B4-BE49-F238E27FC236}">
              <a16:creationId xmlns:a16="http://schemas.microsoft.com/office/drawing/2014/main" id="{A73E84FB-841E-4C02-9900-7D089D4FC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B1E5CCB6-14B0-4D7C-8C7C-20087F29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3" name="Picture 2" descr="bony">
          <a:extLst>
            <a:ext uri="{FF2B5EF4-FFF2-40B4-BE49-F238E27FC236}">
              <a16:creationId xmlns:a16="http://schemas.microsoft.com/office/drawing/2014/main" id="{7654FBD6-AB37-454B-823E-27CFE5111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3B5C26DA-61A5-4566-A3C7-9C10FF7B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3" name="Picture 2" descr="bony">
          <a:extLst>
            <a:ext uri="{FF2B5EF4-FFF2-40B4-BE49-F238E27FC236}">
              <a16:creationId xmlns:a16="http://schemas.microsoft.com/office/drawing/2014/main" id="{BD736EE2-3014-4C9A-92B2-C5E8E789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2" name="Picture 1" descr="bony">
          <a:extLst>
            <a:ext uri="{FF2B5EF4-FFF2-40B4-BE49-F238E27FC236}">
              <a16:creationId xmlns:a16="http://schemas.microsoft.com/office/drawing/2014/main" id="{3AFD79D3-2D5D-4FE6-A276-6B8FCB58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203200</xdr:rowOff>
    </xdr:from>
    <xdr:to>
      <xdr:col>0</xdr:col>
      <xdr:colOff>472722</xdr:colOff>
      <xdr:row>1</xdr:row>
      <xdr:rowOff>211667</xdr:rowOff>
    </xdr:to>
    <xdr:pic>
      <xdr:nvPicPr>
        <xdr:cNvPr id="3" name="Picture 2" descr="bony">
          <a:extLst>
            <a:ext uri="{FF2B5EF4-FFF2-40B4-BE49-F238E27FC236}">
              <a16:creationId xmlns:a16="http://schemas.microsoft.com/office/drawing/2014/main" id="{14179A07-BD03-4345-B9B6-EAC054FF0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3200"/>
          <a:ext cx="434622" cy="381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zoomScale="98" zoomScaleNormal="98" workbookViewId="0">
      <selection activeCell="F6" sqref="F6"/>
    </sheetView>
  </sheetViews>
  <sheetFormatPr defaultRowHeight="14.4" x14ac:dyDescent="0.3"/>
  <cols>
    <col min="1" max="1" width="8.88671875" style="18" customWidth="1"/>
    <col min="2" max="2" width="13.44140625" style="18" customWidth="1"/>
    <col min="3" max="3" width="17.109375" style="18" customWidth="1"/>
    <col min="4" max="4" width="32.44140625" style="18" customWidth="1"/>
    <col min="5" max="5" width="14.109375" style="18" customWidth="1"/>
    <col min="6" max="6" width="11.5546875" style="18" customWidth="1"/>
    <col min="7" max="7" width="24.5546875" style="34" customWidth="1"/>
    <col min="8" max="8" width="18.77734375" style="18" customWidth="1"/>
    <col min="9" max="9" width="12.33203125" style="35" customWidth="1"/>
    <col min="10" max="10" width="16.6640625" style="18" customWidth="1"/>
    <col min="11" max="11" width="8.88671875" style="7"/>
    <col min="12" max="12" width="16.6640625" style="18" customWidth="1"/>
    <col min="13" max="13" width="8.88671875" style="18"/>
    <col min="14" max="14" width="19.33203125" style="18" customWidth="1"/>
    <col min="15" max="16384" width="8.88671875" style="18"/>
  </cols>
  <sheetData>
    <row r="1" spans="1:15" s="7" customFormat="1" ht="29.4" customHeight="1" x14ac:dyDescent="0.3">
      <c r="A1" s="46"/>
      <c r="B1" s="58" t="s">
        <v>106</v>
      </c>
      <c r="C1" s="59"/>
      <c r="D1" s="59"/>
      <c r="E1" s="59"/>
      <c r="F1" s="60"/>
      <c r="G1" s="58" t="s">
        <v>107</v>
      </c>
      <c r="H1" s="75"/>
      <c r="I1" s="75"/>
      <c r="J1" s="75"/>
      <c r="K1" s="75"/>
      <c r="L1" s="75"/>
      <c r="M1" s="76"/>
      <c r="N1" s="67" t="s">
        <v>0</v>
      </c>
      <c r="O1" s="68"/>
    </row>
    <row r="2" spans="1:15" s="7" customFormat="1" ht="33.9" customHeight="1" x14ac:dyDescent="0.3">
      <c r="A2" s="47"/>
      <c r="B2" s="61"/>
      <c r="C2" s="62"/>
      <c r="D2" s="62"/>
      <c r="E2" s="62"/>
      <c r="F2" s="63"/>
      <c r="G2" s="77"/>
      <c r="H2" s="78"/>
      <c r="I2" s="78"/>
      <c r="J2" s="78"/>
      <c r="K2" s="78"/>
      <c r="L2" s="78"/>
      <c r="M2" s="79"/>
      <c r="N2" s="69"/>
      <c r="O2" s="70"/>
    </row>
    <row r="3" spans="1:15" s="7" customFormat="1" ht="25.5" customHeight="1" thickBot="1" x14ac:dyDescent="0.35">
      <c r="A3" s="48"/>
      <c r="B3" s="64"/>
      <c r="C3" s="65"/>
      <c r="D3" s="65"/>
      <c r="E3" s="65"/>
      <c r="F3" s="66"/>
      <c r="G3" s="80"/>
      <c r="H3" s="81"/>
      <c r="I3" s="81"/>
      <c r="J3" s="81"/>
      <c r="K3" s="81"/>
      <c r="L3" s="81"/>
      <c r="M3" s="82"/>
      <c r="N3" s="71"/>
      <c r="O3" s="72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s="7" customFormat="1" ht="36.75" customHeight="1" x14ac:dyDescent="0.3">
      <c r="A6" s="8">
        <v>1</v>
      </c>
      <c r="B6" s="8" t="s">
        <v>82</v>
      </c>
      <c r="C6" s="8" t="s">
        <v>80</v>
      </c>
      <c r="D6" s="9" t="s">
        <v>81</v>
      </c>
      <c r="E6" s="10" t="s">
        <v>21</v>
      </c>
      <c r="F6" s="11">
        <v>0.08</v>
      </c>
      <c r="G6" s="11">
        <v>1</v>
      </c>
      <c r="H6" s="11">
        <v>0.25</v>
      </c>
      <c r="I6" s="12">
        <v>7.5</v>
      </c>
      <c r="J6" s="11">
        <v>0.25</v>
      </c>
      <c r="K6" s="12">
        <v>8</v>
      </c>
      <c r="L6" s="11">
        <v>0.25</v>
      </c>
      <c r="M6" s="12">
        <v>8</v>
      </c>
      <c r="N6" s="11">
        <v>0.25</v>
      </c>
      <c r="O6" s="12">
        <v>8</v>
      </c>
    </row>
    <row r="7" spans="1:15" s="14" customFormat="1" ht="36.75" customHeight="1" x14ac:dyDescent="0.3">
      <c r="A7" s="8">
        <v>2</v>
      </c>
      <c r="B7" s="8" t="s">
        <v>96</v>
      </c>
      <c r="C7" s="8" t="s">
        <v>95</v>
      </c>
      <c r="D7" s="13" t="s">
        <v>94</v>
      </c>
      <c r="E7" s="10" t="s">
        <v>21</v>
      </c>
      <c r="F7" s="11">
        <v>0.08</v>
      </c>
      <c r="G7" s="11">
        <v>1</v>
      </c>
      <c r="H7" s="11">
        <v>0.25</v>
      </c>
      <c r="I7" s="12">
        <v>7.5</v>
      </c>
      <c r="J7" s="11">
        <v>0.25</v>
      </c>
      <c r="K7" s="12">
        <v>7.5</v>
      </c>
      <c r="L7" s="11">
        <v>0.25</v>
      </c>
      <c r="M7" s="12">
        <v>8</v>
      </c>
      <c r="N7" s="11">
        <v>0.25</v>
      </c>
      <c r="O7" s="12">
        <v>8</v>
      </c>
    </row>
    <row r="8" spans="1:15" s="14" customFormat="1" ht="36.75" customHeight="1" x14ac:dyDescent="0.3">
      <c r="A8" s="8">
        <v>2</v>
      </c>
      <c r="B8" s="8" t="s">
        <v>96</v>
      </c>
      <c r="C8" s="8" t="s">
        <v>98</v>
      </c>
      <c r="D8" s="13" t="s">
        <v>97</v>
      </c>
      <c r="E8" s="10" t="s">
        <v>21</v>
      </c>
      <c r="F8" s="11">
        <v>0.1</v>
      </c>
      <c r="G8" s="11">
        <v>1</v>
      </c>
      <c r="H8" s="11">
        <v>0.25</v>
      </c>
      <c r="I8" s="12">
        <v>10</v>
      </c>
      <c r="J8" s="11">
        <v>0.25</v>
      </c>
      <c r="K8" s="12">
        <v>10</v>
      </c>
      <c r="L8" s="11">
        <v>0.25</v>
      </c>
      <c r="M8" s="12">
        <v>10</v>
      </c>
      <c r="N8" s="11">
        <v>0.25</v>
      </c>
      <c r="O8" s="12">
        <v>10</v>
      </c>
    </row>
    <row r="9" spans="1:15" s="14" customFormat="1" ht="36.75" customHeight="1" x14ac:dyDescent="0.3">
      <c r="A9" s="83">
        <v>2</v>
      </c>
      <c r="B9" s="83" t="s">
        <v>83</v>
      </c>
      <c r="C9" s="83" t="s">
        <v>86</v>
      </c>
      <c r="D9" s="10" t="s">
        <v>55</v>
      </c>
      <c r="E9" s="10" t="s">
        <v>17</v>
      </c>
      <c r="F9" s="11">
        <v>0.1</v>
      </c>
      <c r="G9" s="11" t="s">
        <v>67</v>
      </c>
      <c r="H9" s="11" t="s">
        <v>67</v>
      </c>
      <c r="I9" s="12">
        <v>9.5</v>
      </c>
      <c r="J9" s="11" t="s">
        <v>67</v>
      </c>
      <c r="K9" s="12">
        <v>9.5</v>
      </c>
      <c r="L9" s="11" t="s">
        <v>67</v>
      </c>
      <c r="M9" s="12">
        <v>9.5</v>
      </c>
      <c r="N9" s="11" t="s">
        <v>67</v>
      </c>
      <c r="O9" s="12">
        <v>9.5</v>
      </c>
    </row>
    <row r="10" spans="1:15" s="7" customFormat="1" ht="36.75" customHeight="1" x14ac:dyDescent="0.3">
      <c r="A10" s="84"/>
      <c r="B10" s="84"/>
      <c r="C10" s="84"/>
      <c r="D10" s="9" t="s">
        <v>56</v>
      </c>
      <c r="E10" s="10" t="s">
        <v>11</v>
      </c>
      <c r="F10" s="11">
        <v>0.09</v>
      </c>
      <c r="G10" s="10" t="s">
        <v>68</v>
      </c>
      <c r="H10" s="10" t="s">
        <v>68</v>
      </c>
      <c r="I10" s="12">
        <v>9</v>
      </c>
      <c r="J10" s="10" t="s">
        <v>68</v>
      </c>
      <c r="K10" s="12">
        <v>9</v>
      </c>
      <c r="L10" s="10" t="s">
        <v>68</v>
      </c>
      <c r="M10" s="12">
        <v>9</v>
      </c>
      <c r="N10" s="10" t="s">
        <v>68</v>
      </c>
      <c r="O10" s="12">
        <v>9</v>
      </c>
    </row>
    <row r="11" spans="1:15" ht="42" customHeight="1" x14ac:dyDescent="0.3">
      <c r="A11" s="85"/>
      <c r="B11" s="85"/>
      <c r="C11" s="85"/>
      <c r="D11" s="10" t="s">
        <v>87</v>
      </c>
      <c r="E11" s="17" t="s">
        <v>21</v>
      </c>
      <c r="F11" s="11">
        <v>0.05</v>
      </c>
      <c r="G11" s="11">
        <v>1</v>
      </c>
      <c r="H11" s="11">
        <v>1</v>
      </c>
      <c r="I11" s="12">
        <v>5</v>
      </c>
      <c r="J11" s="11">
        <v>1</v>
      </c>
      <c r="K11" s="12">
        <v>5</v>
      </c>
      <c r="L11" s="11">
        <v>1</v>
      </c>
      <c r="M11" s="12">
        <v>5</v>
      </c>
      <c r="N11" s="11">
        <v>1</v>
      </c>
      <c r="O11" s="12">
        <v>5</v>
      </c>
    </row>
    <row r="12" spans="1:15" ht="55.2" x14ac:dyDescent="0.3">
      <c r="A12" s="15">
        <v>3</v>
      </c>
      <c r="B12" s="15" t="s">
        <v>84</v>
      </c>
      <c r="C12" s="15" t="s">
        <v>18</v>
      </c>
      <c r="D12" s="19" t="s">
        <v>35</v>
      </c>
      <c r="E12" s="20" t="s">
        <v>21</v>
      </c>
      <c r="F12" s="20">
        <v>0.03</v>
      </c>
      <c r="G12" s="21" t="s">
        <v>36</v>
      </c>
      <c r="H12" s="21" t="s">
        <v>36</v>
      </c>
      <c r="I12" s="22">
        <v>3</v>
      </c>
      <c r="J12" s="21" t="s">
        <v>36</v>
      </c>
      <c r="K12" s="22">
        <v>3</v>
      </c>
      <c r="L12" s="21" t="s">
        <v>36</v>
      </c>
      <c r="M12" s="22">
        <v>3</v>
      </c>
      <c r="N12" s="21" t="s">
        <v>36</v>
      </c>
      <c r="O12" s="22">
        <v>3</v>
      </c>
    </row>
    <row r="13" spans="1:15" s="14" customFormat="1" ht="57.6" x14ac:dyDescent="0.3">
      <c r="A13" s="73">
        <v>4</v>
      </c>
      <c r="B13" s="73" t="s">
        <v>85</v>
      </c>
      <c r="C13" s="8" t="s">
        <v>12</v>
      </c>
      <c r="D13" s="10" t="s">
        <v>29</v>
      </c>
      <c r="E13" s="10" t="s">
        <v>30</v>
      </c>
      <c r="F13" s="11">
        <v>0.04</v>
      </c>
      <c r="G13" s="11" t="s">
        <v>60</v>
      </c>
      <c r="H13" s="11" t="s">
        <v>60</v>
      </c>
      <c r="I13" s="12">
        <v>3</v>
      </c>
      <c r="J13" s="11" t="s">
        <v>60</v>
      </c>
      <c r="K13" s="12">
        <v>3.5</v>
      </c>
      <c r="L13" s="11" t="s">
        <v>60</v>
      </c>
      <c r="M13" s="12">
        <v>3.5</v>
      </c>
      <c r="N13" s="11" t="s">
        <v>60</v>
      </c>
      <c r="O13" s="12">
        <v>3.5</v>
      </c>
    </row>
    <row r="14" spans="1:15" ht="46.2" customHeight="1" x14ac:dyDescent="0.3">
      <c r="A14" s="73"/>
      <c r="B14" s="73"/>
      <c r="C14" s="8" t="s">
        <v>14</v>
      </c>
      <c r="D14" s="23" t="s">
        <v>32</v>
      </c>
      <c r="E14" s="10" t="s">
        <v>13</v>
      </c>
      <c r="F14" s="11">
        <v>0.05</v>
      </c>
      <c r="G14" s="11" t="s">
        <v>23</v>
      </c>
      <c r="H14" s="11" t="s">
        <v>23</v>
      </c>
      <c r="I14" s="12">
        <v>5</v>
      </c>
      <c r="J14" s="11" t="s">
        <v>23</v>
      </c>
      <c r="K14" s="12">
        <v>5</v>
      </c>
      <c r="L14" s="11" t="s">
        <v>23</v>
      </c>
      <c r="M14" s="12">
        <v>5</v>
      </c>
      <c r="N14" s="11" t="s">
        <v>23</v>
      </c>
      <c r="O14" s="12">
        <v>5</v>
      </c>
    </row>
    <row r="15" spans="1:15" ht="30" customHeight="1" x14ac:dyDescent="0.3">
      <c r="A15" s="73"/>
      <c r="B15" s="73"/>
      <c r="C15" s="83" t="s">
        <v>25</v>
      </c>
      <c r="D15" s="23" t="s">
        <v>62</v>
      </c>
      <c r="E15" s="10" t="s">
        <v>27</v>
      </c>
      <c r="F15" s="11">
        <v>0.05</v>
      </c>
      <c r="G15" s="11">
        <v>1</v>
      </c>
      <c r="H15" s="11">
        <v>1</v>
      </c>
      <c r="I15" s="12">
        <v>5</v>
      </c>
      <c r="J15" s="11">
        <v>1</v>
      </c>
      <c r="K15" s="12">
        <v>5</v>
      </c>
      <c r="L15" s="11">
        <v>1</v>
      </c>
      <c r="M15" s="12">
        <v>5</v>
      </c>
      <c r="N15" s="11">
        <v>1</v>
      </c>
      <c r="O15" s="12">
        <v>5</v>
      </c>
    </row>
    <row r="16" spans="1:15" x14ac:dyDescent="0.3">
      <c r="A16" s="73"/>
      <c r="B16" s="73"/>
      <c r="C16" s="84"/>
      <c r="D16" s="23" t="s">
        <v>26</v>
      </c>
      <c r="E16" s="10" t="s">
        <v>28</v>
      </c>
      <c r="F16" s="11">
        <v>0.05</v>
      </c>
      <c r="G16" s="11">
        <v>1</v>
      </c>
      <c r="H16" s="11">
        <v>1</v>
      </c>
      <c r="I16" s="12">
        <v>5</v>
      </c>
      <c r="J16" s="11">
        <v>1</v>
      </c>
      <c r="K16" s="12">
        <v>5</v>
      </c>
      <c r="L16" s="11">
        <v>1</v>
      </c>
      <c r="M16" s="12">
        <v>5</v>
      </c>
      <c r="N16" s="11">
        <v>1</v>
      </c>
      <c r="O16" s="12">
        <v>5</v>
      </c>
    </row>
    <row r="17" spans="1:15" x14ac:dyDescent="0.3">
      <c r="A17" s="73"/>
      <c r="B17" s="73"/>
      <c r="C17" s="83" t="s">
        <v>19</v>
      </c>
      <c r="D17" s="23" t="s">
        <v>20</v>
      </c>
      <c r="E17" s="10" t="s">
        <v>21</v>
      </c>
      <c r="F17" s="11">
        <v>0.05</v>
      </c>
      <c r="G17" s="11" t="s">
        <v>22</v>
      </c>
      <c r="H17" s="11" t="s">
        <v>23</v>
      </c>
      <c r="I17" s="12">
        <v>5</v>
      </c>
      <c r="J17" s="11" t="s">
        <v>23</v>
      </c>
      <c r="K17" s="12">
        <v>5</v>
      </c>
      <c r="L17" s="11" t="s">
        <v>23</v>
      </c>
      <c r="M17" s="12">
        <v>5</v>
      </c>
      <c r="N17" s="11" t="s">
        <v>23</v>
      </c>
      <c r="O17" s="12">
        <v>5</v>
      </c>
    </row>
    <row r="18" spans="1:15" ht="57" customHeight="1" x14ac:dyDescent="0.3">
      <c r="A18" s="73"/>
      <c r="B18" s="73"/>
      <c r="C18" s="84"/>
      <c r="D18" s="9" t="s">
        <v>65</v>
      </c>
      <c r="E18" s="10" t="s">
        <v>24</v>
      </c>
      <c r="F18" s="11">
        <v>0.2</v>
      </c>
      <c r="G18" s="11" t="s">
        <v>63</v>
      </c>
      <c r="H18" s="11" t="s">
        <v>63</v>
      </c>
      <c r="I18" s="12">
        <v>19.5</v>
      </c>
      <c r="J18" s="11" t="s">
        <v>63</v>
      </c>
      <c r="K18" s="12">
        <v>19.5</v>
      </c>
      <c r="L18" s="11" t="s">
        <v>63</v>
      </c>
      <c r="M18" s="12">
        <v>19.5</v>
      </c>
      <c r="N18" s="11" t="s">
        <v>63</v>
      </c>
      <c r="O18" s="12">
        <v>19.5</v>
      </c>
    </row>
    <row r="19" spans="1:15" x14ac:dyDescent="0.3">
      <c r="A19" s="73"/>
      <c r="B19" s="73"/>
      <c r="C19" s="24"/>
      <c r="D19" s="23" t="s">
        <v>16</v>
      </c>
      <c r="E19" s="10" t="s">
        <v>13</v>
      </c>
      <c r="F19" s="11">
        <v>0.03</v>
      </c>
      <c r="G19" s="11">
        <v>1</v>
      </c>
      <c r="H19" s="11">
        <v>1</v>
      </c>
      <c r="I19" s="12">
        <v>3</v>
      </c>
      <c r="J19" s="11">
        <v>1</v>
      </c>
      <c r="K19" s="12">
        <v>3</v>
      </c>
      <c r="L19" s="11">
        <v>1</v>
      </c>
      <c r="M19" s="12">
        <v>3</v>
      </c>
      <c r="N19" s="11">
        <v>1</v>
      </c>
      <c r="O19" s="12">
        <v>3</v>
      </c>
    </row>
    <row r="20" spans="1:15" x14ac:dyDescent="0.3">
      <c r="A20" s="73"/>
      <c r="B20" s="73"/>
      <c r="C20" s="25"/>
      <c r="D20" s="26"/>
      <c r="E20" s="26"/>
      <c r="F20" s="27">
        <f>SUM(F6:F19)</f>
        <v>1.0000000000000002</v>
      </c>
      <c r="G20" s="26"/>
      <c r="H20" s="26"/>
      <c r="I20" s="28">
        <f>SUM(I6:I19)</f>
        <v>97</v>
      </c>
      <c r="J20" s="28"/>
      <c r="K20" s="29">
        <f>SUM(K6:K19)</f>
        <v>98</v>
      </c>
      <c r="L20" s="30"/>
      <c r="M20" s="30">
        <f>SUM(M6:M19)</f>
        <v>98.5</v>
      </c>
      <c r="N20" s="30"/>
      <c r="O20" s="30">
        <f>SUM(O6:O19)</f>
        <v>98.5</v>
      </c>
    </row>
    <row r="21" spans="1:15" x14ac:dyDescent="0.3">
      <c r="A21" s="31"/>
      <c r="B21" s="31"/>
      <c r="C21" s="31"/>
      <c r="D21" s="31"/>
      <c r="E21" s="31"/>
      <c r="F21" s="31"/>
      <c r="G21" s="31"/>
      <c r="H21" s="31"/>
      <c r="I21" s="32"/>
      <c r="J21" s="31"/>
      <c r="K21" s="33"/>
      <c r="L21" s="31"/>
      <c r="M21" s="31"/>
      <c r="N21" s="31"/>
      <c r="O21" s="31"/>
    </row>
    <row r="22" spans="1:15" x14ac:dyDescent="0.3">
      <c r="A22" s="31"/>
      <c r="B22" s="31"/>
      <c r="C22" s="31"/>
    </row>
  </sheetData>
  <mergeCells count="22">
    <mergeCell ref="A13:A20"/>
    <mergeCell ref="B13:B20"/>
    <mergeCell ref="C15:C16"/>
    <mergeCell ref="C17:C18"/>
    <mergeCell ref="C9:C11"/>
    <mergeCell ref="B9:B11"/>
    <mergeCell ref="A9:A11"/>
    <mergeCell ref="G4:G5"/>
    <mergeCell ref="H4:I4"/>
    <mergeCell ref="L4:M4"/>
    <mergeCell ref="N4:O4"/>
    <mergeCell ref="A1:A3"/>
    <mergeCell ref="B1:F3"/>
    <mergeCell ref="G1:M3"/>
    <mergeCell ref="N1:O3"/>
    <mergeCell ref="A4:A5"/>
    <mergeCell ref="B4:B5"/>
    <mergeCell ref="C4:C5"/>
    <mergeCell ref="D4:D5"/>
    <mergeCell ref="E4:E5"/>
    <mergeCell ref="F4:F5"/>
    <mergeCell ref="J4:K4"/>
  </mergeCells>
  <pageMargins left="0.19685039370078741" right="0.19685039370078741" top="0.19685039370078741" bottom="0.19685039370078741" header="3.937007874015748E-2" footer="3.937007874015748E-2"/>
  <pageSetup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3"/>
  <sheetViews>
    <sheetView topLeftCell="A13" zoomScale="70" zoomScaleNormal="70" workbookViewId="0">
      <selection activeCell="D26" sqref="D26"/>
    </sheetView>
  </sheetViews>
  <sheetFormatPr defaultRowHeight="14.4" x14ac:dyDescent="0.3"/>
  <cols>
    <col min="1" max="1" width="8.88671875" style="1" customWidth="1"/>
    <col min="2" max="2" width="17.109375" style="1" customWidth="1"/>
    <col min="3" max="3" width="32.5546875" style="1" customWidth="1"/>
    <col min="4" max="4" width="32.44140625" style="1" customWidth="1"/>
    <col min="5" max="5" width="14.109375" style="1" customWidth="1"/>
    <col min="6" max="6" width="9.77734375" style="1" customWidth="1"/>
    <col min="7" max="7" width="31.6640625" style="6" customWidth="1"/>
    <col min="8" max="8" width="24.33203125" style="1" customWidth="1"/>
    <col min="9" max="9" width="8.88671875" style="4"/>
    <col min="10" max="10" width="27.33203125" style="1" customWidth="1"/>
    <col min="11" max="11" width="8.88671875" style="1"/>
    <col min="12" max="12" width="27.44140625" style="1" customWidth="1"/>
    <col min="13" max="13" width="8.88671875" style="1"/>
    <col min="14" max="14" width="24.44140625" style="1" customWidth="1"/>
    <col min="15" max="15" width="10" style="1" customWidth="1"/>
    <col min="16" max="16384" width="8.88671875" style="1"/>
  </cols>
  <sheetData>
    <row r="1" spans="1:15" ht="29.4" customHeight="1" x14ac:dyDescent="0.3">
      <c r="A1" s="86"/>
      <c r="B1" s="89" t="s">
        <v>101</v>
      </c>
      <c r="C1" s="90"/>
      <c r="D1" s="90"/>
      <c r="E1" s="90"/>
      <c r="F1" s="91"/>
      <c r="G1" s="89" t="s">
        <v>156</v>
      </c>
      <c r="H1" s="98"/>
      <c r="I1" s="98"/>
      <c r="J1" s="98"/>
      <c r="K1" s="98"/>
      <c r="L1" s="98"/>
      <c r="M1" s="99"/>
      <c r="N1" s="106" t="s">
        <v>0</v>
      </c>
      <c r="O1" s="107"/>
    </row>
    <row r="2" spans="1:15" ht="33.9" customHeight="1" x14ac:dyDescent="0.3">
      <c r="A2" s="87"/>
      <c r="B2" s="92"/>
      <c r="C2" s="93"/>
      <c r="D2" s="93"/>
      <c r="E2" s="93"/>
      <c r="F2" s="94"/>
      <c r="G2" s="100"/>
      <c r="H2" s="101"/>
      <c r="I2" s="101"/>
      <c r="J2" s="101"/>
      <c r="K2" s="101"/>
      <c r="L2" s="101"/>
      <c r="M2" s="102"/>
      <c r="N2" s="108"/>
      <c r="O2" s="109"/>
    </row>
    <row r="3" spans="1:15" ht="25.2" customHeight="1" x14ac:dyDescent="0.3">
      <c r="A3" s="87"/>
      <c r="B3" s="92"/>
      <c r="C3" s="93"/>
      <c r="D3" s="93"/>
      <c r="E3" s="93"/>
      <c r="F3" s="94"/>
      <c r="G3" s="100"/>
      <c r="H3" s="101"/>
      <c r="I3" s="101"/>
      <c r="J3" s="101"/>
      <c r="K3" s="101"/>
      <c r="L3" s="101"/>
      <c r="M3" s="102"/>
      <c r="N3" s="108"/>
      <c r="O3" s="109"/>
    </row>
    <row r="4" spans="1:15" ht="25.2" customHeight="1" thickBot="1" x14ac:dyDescent="0.35">
      <c r="A4" s="88"/>
      <c r="B4" s="95"/>
      <c r="C4" s="96"/>
      <c r="D4" s="96"/>
      <c r="E4" s="96"/>
      <c r="F4" s="97"/>
      <c r="G4" s="103"/>
      <c r="H4" s="104"/>
      <c r="I4" s="104"/>
      <c r="J4" s="104"/>
      <c r="K4" s="104"/>
      <c r="L4" s="104"/>
      <c r="M4" s="105"/>
      <c r="N4" s="110"/>
      <c r="O4" s="111"/>
    </row>
    <row r="5" spans="1:15" s="5" customFormat="1" ht="14.4" customHeight="1" x14ac:dyDescent="0.3">
      <c r="A5" s="112" t="s">
        <v>1</v>
      </c>
      <c r="B5" s="112" t="s">
        <v>2</v>
      </c>
      <c r="C5" s="112" t="s">
        <v>3</v>
      </c>
      <c r="D5" s="114" t="s">
        <v>4</v>
      </c>
      <c r="E5" s="112" t="s">
        <v>5</v>
      </c>
      <c r="F5" s="112" t="s">
        <v>6</v>
      </c>
      <c r="G5" s="116" t="s">
        <v>93</v>
      </c>
      <c r="H5" s="118" t="s">
        <v>79</v>
      </c>
      <c r="I5" s="118"/>
      <c r="J5" s="118" t="s">
        <v>78</v>
      </c>
      <c r="K5" s="118"/>
      <c r="L5" s="118" t="s">
        <v>7</v>
      </c>
      <c r="M5" s="118"/>
      <c r="N5" s="118" t="s">
        <v>8</v>
      </c>
      <c r="O5" s="118"/>
    </row>
    <row r="6" spans="1:15" s="5" customFormat="1" ht="31.2" x14ac:dyDescent="0.3">
      <c r="A6" s="113"/>
      <c r="B6" s="113"/>
      <c r="C6" s="113"/>
      <c r="D6" s="115"/>
      <c r="E6" s="113"/>
      <c r="F6" s="113"/>
      <c r="G6" s="117"/>
      <c r="H6" s="2" t="s">
        <v>9</v>
      </c>
      <c r="I6" s="3" t="s">
        <v>10</v>
      </c>
      <c r="J6" s="2" t="s">
        <v>9</v>
      </c>
      <c r="K6" s="2" t="s">
        <v>10</v>
      </c>
      <c r="L6" s="2" t="s">
        <v>9</v>
      </c>
      <c r="M6" s="2" t="s">
        <v>10</v>
      </c>
      <c r="N6" s="2" t="s">
        <v>9</v>
      </c>
      <c r="O6" s="2" t="s">
        <v>10</v>
      </c>
    </row>
    <row r="7" spans="1:15" s="7" customFormat="1" ht="36.75" customHeight="1" x14ac:dyDescent="0.3">
      <c r="A7" s="83">
        <v>1</v>
      </c>
      <c r="B7" s="83" t="s">
        <v>142</v>
      </c>
      <c r="C7" s="156" t="s">
        <v>57</v>
      </c>
      <c r="D7" s="168" t="s">
        <v>55</v>
      </c>
      <c r="E7" s="10" t="s">
        <v>17</v>
      </c>
      <c r="F7" s="11">
        <v>0.06</v>
      </c>
      <c r="G7" s="11" t="s">
        <v>67</v>
      </c>
      <c r="H7" s="11" t="s">
        <v>67</v>
      </c>
      <c r="I7" s="12">
        <v>5</v>
      </c>
      <c r="J7" s="11" t="s">
        <v>67</v>
      </c>
      <c r="K7" s="10">
        <v>12.5</v>
      </c>
      <c r="L7" s="11" t="s">
        <v>67</v>
      </c>
      <c r="M7" s="12">
        <v>6</v>
      </c>
      <c r="N7" s="11" t="s">
        <v>67</v>
      </c>
      <c r="O7" s="154">
        <v>6</v>
      </c>
    </row>
    <row r="8" spans="1:15" s="7" customFormat="1" ht="36.75" customHeight="1" x14ac:dyDescent="0.3">
      <c r="A8" s="84"/>
      <c r="B8" s="84"/>
      <c r="C8" s="157"/>
      <c r="D8" s="168" t="s">
        <v>56</v>
      </c>
      <c r="E8" s="10" t="s">
        <v>11</v>
      </c>
      <c r="F8" s="11">
        <v>7.0000000000000007E-2</v>
      </c>
      <c r="G8" s="10" t="s">
        <v>68</v>
      </c>
      <c r="H8" s="10" t="s">
        <v>68</v>
      </c>
      <c r="I8" s="12">
        <v>6</v>
      </c>
      <c r="J8" s="10" t="s">
        <v>68</v>
      </c>
      <c r="K8" s="10">
        <v>6</v>
      </c>
      <c r="L8" s="10" t="s">
        <v>68</v>
      </c>
      <c r="M8" s="12">
        <v>7</v>
      </c>
      <c r="N8" s="10" t="s">
        <v>68</v>
      </c>
      <c r="O8" s="154">
        <v>7</v>
      </c>
    </row>
    <row r="9" spans="1:15" s="7" customFormat="1" ht="36.75" customHeight="1" x14ac:dyDescent="0.3">
      <c r="A9" s="85"/>
      <c r="B9" s="85"/>
      <c r="C9" s="158"/>
      <c r="D9" s="168" t="s">
        <v>88</v>
      </c>
      <c r="E9" s="10" t="s">
        <v>21</v>
      </c>
      <c r="F9" s="11">
        <v>7.0000000000000007E-2</v>
      </c>
      <c r="G9" s="11">
        <v>1</v>
      </c>
      <c r="H9" s="11">
        <v>1</v>
      </c>
      <c r="I9" s="12">
        <v>7</v>
      </c>
      <c r="J9" s="11">
        <v>1</v>
      </c>
      <c r="K9" s="10">
        <v>6</v>
      </c>
      <c r="L9" s="11">
        <v>1</v>
      </c>
      <c r="M9" s="12">
        <v>7</v>
      </c>
      <c r="N9" s="11">
        <v>1</v>
      </c>
      <c r="O9" s="154">
        <v>7</v>
      </c>
    </row>
    <row r="10" spans="1:15" s="7" customFormat="1" ht="46.05" customHeight="1" x14ac:dyDescent="0.3">
      <c r="A10" s="16">
        <v>2</v>
      </c>
      <c r="B10" s="16" t="s">
        <v>143</v>
      </c>
      <c r="C10" s="16" t="s">
        <v>144</v>
      </c>
      <c r="D10" s="168" t="s">
        <v>145</v>
      </c>
      <c r="E10" s="10" t="s">
        <v>21</v>
      </c>
      <c r="F10" s="11">
        <v>0.08</v>
      </c>
      <c r="G10" s="11">
        <v>1</v>
      </c>
      <c r="H10" s="11">
        <v>1</v>
      </c>
      <c r="I10" s="12">
        <v>7</v>
      </c>
      <c r="J10" s="11">
        <v>1</v>
      </c>
      <c r="K10" s="10">
        <v>6</v>
      </c>
      <c r="L10" s="11">
        <v>1</v>
      </c>
      <c r="M10" s="12">
        <v>8</v>
      </c>
      <c r="N10" s="11">
        <v>1</v>
      </c>
      <c r="O10" s="154">
        <v>6</v>
      </c>
    </row>
    <row r="11" spans="1:15" s="7" customFormat="1" ht="43.2" x14ac:dyDescent="0.3">
      <c r="A11" s="16">
        <v>3</v>
      </c>
      <c r="B11" s="16" t="s">
        <v>146</v>
      </c>
      <c r="C11" s="16" t="s">
        <v>147</v>
      </c>
      <c r="D11" s="168" t="s">
        <v>148</v>
      </c>
      <c r="E11" s="10" t="s">
        <v>21</v>
      </c>
      <c r="F11" s="11">
        <v>0.08</v>
      </c>
      <c r="G11" s="11">
        <v>1</v>
      </c>
      <c r="H11" s="11">
        <v>1</v>
      </c>
      <c r="I11" s="12">
        <v>3</v>
      </c>
      <c r="J11" s="11">
        <v>1</v>
      </c>
      <c r="K11" s="10">
        <v>0</v>
      </c>
      <c r="L11" s="11">
        <v>1</v>
      </c>
      <c r="M11" s="12">
        <v>3</v>
      </c>
      <c r="N11" s="11">
        <v>1</v>
      </c>
      <c r="O11" s="154">
        <v>6</v>
      </c>
    </row>
    <row r="12" spans="1:15" s="7" customFormat="1" ht="41.4" x14ac:dyDescent="0.3">
      <c r="A12" s="73">
        <v>4</v>
      </c>
      <c r="B12" s="73" t="s">
        <v>149</v>
      </c>
      <c r="C12" s="74" t="s">
        <v>12</v>
      </c>
      <c r="D12" s="168" t="s">
        <v>29</v>
      </c>
      <c r="E12" s="10" t="s">
        <v>30</v>
      </c>
      <c r="F12" s="11">
        <v>0.03</v>
      </c>
      <c r="G12" s="11" t="s">
        <v>60</v>
      </c>
      <c r="H12" s="11" t="s">
        <v>60</v>
      </c>
      <c r="I12" s="12">
        <v>3</v>
      </c>
      <c r="J12" s="11" t="s">
        <v>60</v>
      </c>
      <c r="K12" s="10">
        <v>6</v>
      </c>
      <c r="L12" s="11" t="s">
        <v>60</v>
      </c>
      <c r="M12" s="12">
        <v>6</v>
      </c>
      <c r="N12" s="11" t="s">
        <v>60</v>
      </c>
      <c r="O12" s="154">
        <v>6.5</v>
      </c>
    </row>
    <row r="13" spans="1:15" s="7" customFormat="1" ht="124.2" x14ac:dyDescent="0.3">
      <c r="A13" s="73"/>
      <c r="B13" s="73"/>
      <c r="C13" s="74"/>
      <c r="D13" s="168" t="s">
        <v>31</v>
      </c>
      <c r="E13" s="10" t="s">
        <v>11</v>
      </c>
      <c r="F13" s="11">
        <v>0.06</v>
      </c>
      <c r="G13" s="11" t="s">
        <v>61</v>
      </c>
      <c r="H13" s="11" t="s">
        <v>61</v>
      </c>
      <c r="I13" s="12">
        <v>6</v>
      </c>
      <c r="J13" s="11" t="s">
        <v>61</v>
      </c>
      <c r="K13" s="10">
        <v>7</v>
      </c>
      <c r="L13" s="11" t="s">
        <v>61</v>
      </c>
      <c r="M13" s="12">
        <v>7</v>
      </c>
      <c r="N13" s="11" t="s">
        <v>61</v>
      </c>
      <c r="O13" s="154">
        <v>7</v>
      </c>
    </row>
    <row r="14" spans="1:15" s="7" customFormat="1" ht="41.4" x14ac:dyDescent="0.3">
      <c r="A14" s="73"/>
      <c r="B14" s="73"/>
      <c r="C14" s="13" t="s">
        <v>14</v>
      </c>
      <c r="D14" s="168" t="s">
        <v>32</v>
      </c>
      <c r="E14" s="10" t="s">
        <v>13</v>
      </c>
      <c r="F14" s="11">
        <v>0.05</v>
      </c>
      <c r="G14" s="11" t="s">
        <v>23</v>
      </c>
      <c r="H14" s="11" t="s">
        <v>23</v>
      </c>
      <c r="I14" s="12">
        <v>5</v>
      </c>
      <c r="J14" s="11" t="s">
        <v>23</v>
      </c>
      <c r="K14" s="10">
        <v>5</v>
      </c>
      <c r="L14" s="11" t="s">
        <v>23</v>
      </c>
      <c r="M14" s="12">
        <v>4</v>
      </c>
      <c r="N14" s="11" t="s">
        <v>23</v>
      </c>
      <c r="O14" s="154">
        <v>5</v>
      </c>
    </row>
    <row r="15" spans="1:15" s="7" customFormat="1" ht="27.6" x14ac:dyDescent="0.3">
      <c r="A15" s="73"/>
      <c r="B15" s="73"/>
      <c r="C15" s="169" t="s">
        <v>19</v>
      </c>
      <c r="D15" s="168" t="s">
        <v>69</v>
      </c>
      <c r="E15" s="10" t="s">
        <v>24</v>
      </c>
      <c r="F15" s="11">
        <v>0.08</v>
      </c>
      <c r="G15" s="11" t="s">
        <v>63</v>
      </c>
      <c r="H15" s="11" t="s">
        <v>63</v>
      </c>
      <c r="I15" s="12">
        <v>9</v>
      </c>
      <c r="J15" s="11" t="s">
        <v>63</v>
      </c>
      <c r="K15" s="10">
        <v>7</v>
      </c>
      <c r="L15" s="11" t="s">
        <v>63</v>
      </c>
      <c r="M15" s="12">
        <v>6</v>
      </c>
      <c r="N15" s="11" t="s">
        <v>63</v>
      </c>
      <c r="O15" s="154">
        <v>6</v>
      </c>
    </row>
    <row r="16" spans="1:15" s="7" customFormat="1" ht="55.2" x14ac:dyDescent="0.3">
      <c r="A16" s="73"/>
      <c r="B16" s="73"/>
      <c r="C16" s="169" t="s">
        <v>37</v>
      </c>
      <c r="D16" s="170" t="s">
        <v>38</v>
      </c>
      <c r="E16" s="169" t="s">
        <v>39</v>
      </c>
      <c r="F16" s="171">
        <v>0.12</v>
      </c>
      <c r="G16" s="167" t="s">
        <v>75</v>
      </c>
      <c r="H16" s="167" t="s">
        <v>75</v>
      </c>
      <c r="I16" s="172">
        <v>10</v>
      </c>
      <c r="J16" s="167" t="s">
        <v>75</v>
      </c>
      <c r="K16" s="169">
        <v>9</v>
      </c>
      <c r="L16" s="167" t="s">
        <v>75</v>
      </c>
      <c r="M16" s="172">
        <v>11</v>
      </c>
      <c r="N16" s="167" t="s">
        <v>75</v>
      </c>
      <c r="O16" s="173">
        <v>10</v>
      </c>
    </row>
    <row r="17" spans="1:15" s="7" customFormat="1" ht="28.8" x14ac:dyDescent="0.3">
      <c r="A17" s="73"/>
      <c r="B17" s="73"/>
      <c r="C17" s="169" t="s">
        <v>70</v>
      </c>
      <c r="D17" s="170" t="s">
        <v>40</v>
      </c>
      <c r="E17" s="10" t="s">
        <v>13</v>
      </c>
      <c r="F17" s="11">
        <v>0.05</v>
      </c>
      <c r="G17" s="11">
        <v>1</v>
      </c>
      <c r="H17" s="11">
        <v>1</v>
      </c>
      <c r="I17" s="172">
        <v>5</v>
      </c>
      <c r="J17" s="11">
        <v>1</v>
      </c>
      <c r="K17" s="169">
        <v>5</v>
      </c>
      <c r="L17" s="11">
        <v>1</v>
      </c>
      <c r="M17" s="172">
        <v>5</v>
      </c>
      <c r="N17" s="11">
        <v>1</v>
      </c>
      <c r="O17" s="173">
        <v>5</v>
      </c>
    </row>
    <row r="18" spans="1:15" s="7" customFormat="1" ht="57.6" x14ac:dyDescent="0.3">
      <c r="A18" s="73"/>
      <c r="B18" s="73"/>
      <c r="C18" s="169" t="s">
        <v>72</v>
      </c>
      <c r="D18" s="25" t="s">
        <v>74</v>
      </c>
      <c r="E18" s="10" t="s">
        <v>73</v>
      </c>
      <c r="F18" s="11">
        <v>0.1</v>
      </c>
      <c r="G18" s="11">
        <v>1</v>
      </c>
      <c r="H18" s="11">
        <v>1</v>
      </c>
      <c r="I18" s="172">
        <v>9</v>
      </c>
      <c r="J18" s="11">
        <v>1</v>
      </c>
      <c r="K18" s="169">
        <v>9</v>
      </c>
      <c r="L18" s="11">
        <v>1</v>
      </c>
      <c r="M18" s="172">
        <v>9</v>
      </c>
      <c r="N18" s="11">
        <v>1</v>
      </c>
      <c r="O18" s="173">
        <v>9.5</v>
      </c>
    </row>
    <row r="19" spans="1:15" s="7" customFormat="1" ht="41.4" x14ac:dyDescent="0.3">
      <c r="A19" s="73"/>
      <c r="B19" s="73"/>
      <c r="C19" s="74" t="s">
        <v>15</v>
      </c>
      <c r="D19" s="168" t="s">
        <v>33</v>
      </c>
      <c r="E19" s="10" t="s">
        <v>30</v>
      </c>
      <c r="F19" s="11">
        <v>0.08</v>
      </c>
      <c r="G19" s="11" t="s">
        <v>71</v>
      </c>
      <c r="H19" s="11" t="s">
        <v>71</v>
      </c>
      <c r="I19" s="12">
        <v>7</v>
      </c>
      <c r="J19" s="11" t="s">
        <v>71</v>
      </c>
      <c r="K19" s="10">
        <v>7</v>
      </c>
      <c r="L19" s="11" t="s">
        <v>71</v>
      </c>
      <c r="M19" s="12">
        <v>8</v>
      </c>
      <c r="N19" s="11" t="s">
        <v>71</v>
      </c>
      <c r="O19" s="154">
        <v>8</v>
      </c>
    </row>
    <row r="20" spans="1:15" s="7" customFormat="1" ht="73.8" customHeight="1" x14ac:dyDescent="0.3">
      <c r="A20" s="73"/>
      <c r="B20" s="73"/>
      <c r="C20" s="74"/>
      <c r="D20" s="168" t="s">
        <v>64</v>
      </c>
      <c r="E20" s="10" t="s">
        <v>34</v>
      </c>
      <c r="F20" s="11">
        <v>7.0000000000000007E-2</v>
      </c>
      <c r="G20" s="11" t="s">
        <v>66</v>
      </c>
      <c r="H20" s="11" t="s">
        <v>66</v>
      </c>
      <c r="I20" s="12">
        <v>7</v>
      </c>
      <c r="J20" s="11" t="s">
        <v>66</v>
      </c>
      <c r="K20" s="10">
        <v>7</v>
      </c>
      <c r="L20" s="11" t="s">
        <v>66</v>
      </c>
      <c r="M20" s="12">
        <v>6</v>
      </c>
      <c r="N20" s="11" t="s">
        <v>66</v>
      </c>
      <c r="O20" s="154">
        <v>7</v>
      </c>
    </row>
    <row r="21" spans="1:15" s="7" customFormat="1" x14ac:dyDescent="0.3">
      <c r="A21" s="73"/>
      <c r="B21" s="73"/>
      <c r="C21" s="74"/>
      <c r="D21" s="168"/>
      <c r="E21" s="10" t="s">
        <v>13</v>
      </c>
      <c r="F21" s="11">
        <f>SUM(F7:F20)</f>
        <v>1</v>
      </c>
      <c r="G21" s="11">
        <v>1</v>
      </c>
      <c r="H21" s="11">
        <v>1</v>
      </c>
      <c r="I21" s="12">
        <f>SUM(I7:I20)</f>
        <v>89</v>
      </c>
      <c r="J21" s="11">
        <v>1</v>
      </c>
      <c r="K21" s="12">
        <f>SUM(K7:K20)</f>
        <v>92.5</v>
      </c>
      <c r="L21" s="11">
        <v>1</v>
      </c>
      <c r="M21" s="12">
        <f>SUM(M7:M20)</f>
        <v>93</v>
      </c>
      <c r="N21" s="11">
        <v>1</v>
      </c>
      <c r="O21" s="154">
        <f>SUM(O7:O20)</f>
        <v>96</v>
      </c>
    </row>
    <row r="22" spans="1:15" s="7" customFormat="1" x14ac:dyDescent="0.3">
      <c r="F22" s="174"/>
      <c r="G22" s="174"/>
      <c r="H22" s="174"/>
      <c r="I22" s="174"/>
      <c r="J22" s="174"/>
      <c r="K22" s="174"/>
      <c r="L22" s="174"/>
      <c r="M22" s="174"/>
      <c r="N22" s="174"/>
      <c r="O22" s="174"/>
    </row>
    <row r="23" spans="1:15" s="7" customFormat="1" ht="21" x14ac:dyDescent="0.3">
      <c r="D23" s="176" t="s">
        <v>141</v>
      </c>
      <c r="G23" s="176" t="s">
        <v>151</v>
      </c>
      <c r="I23" s="175"/>
    </row>
  </sheetData>
  <mergeCells count="22">
    <mergeCell ref="A7:A9"/>
    <mergeCell ref="B7:B9"/>
    <mergeCell ref="C7:C9"/>
    <mergeCell ref="A1:A4"/>
    <mergeCell ref="B1:F4"/>
    <mergeCell ref="G1:M4"/>
    <mergeCell ref="N1:O4"/>
    <mergeCell ref="A5:A6"/>
    <mergeCell ref="B5:B6"/>
    <mergeCell ref="C5:C6"/>
    <mergeCell ref="D5:D6"/>
    <mergeCell ref="E5:E6"/>
    <mergeCell ref="F5:F6"/>
    <mergeCell ref="G5:G6"/>
    <mergeCell ref="H5:I5"/>
    <mergeCell ref="L5:M5"/>
    <mergeCell ref="N5:O5"/>
    <mergeCell ref="J5:K5"/>
    <mergeCell ref="A12:A21"/>
    <mergeCell ref="B12:B21"/>
    <mergeCell ref="C12:C13"/>
    <mergeCell ref="C19:C21"/>
  </mergeCells>
  <pageMargins left="0.19685039370078741" right="0.19685039370078741" top="0.19685039370078741" bottom="0.74803149606299213" header="3.937007874015748E-2" footer="3.937007874015748E-2"/>
  <pageSetup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2"/>
  <sheetViews>
    <sheetView topLeftCell="A10" zoomScaleNormal="100" workbookViewId="0">
      <selection activeCell="D31" sqref="D31"/>
    </sheetView>
  </sheetViews>
  <sheetFormatPr defaultRowHeight="14.4" x14ac:dyDescent="0.3"/>
  <cols>
    <col min="1" max="1" width="8.88671875" style="7" customWidth="1"/>
    <col min="2" max="2" width="13.44140625" style="7" customWidth="1"/>
    <col min="3" max="3" width="17.109375" style="7" customWidth="1"/>
    <col min="4" max="4" width="32.44140625" style="7" customWidth="1"/>
    <col min="5" max="5" width="14.109375" style="7" customWidth="1"/>
    <col min="6" max="6" width="8.33203125" style="7" bestFit="1" customWidth="1"/>
    <col min="7" max="7" width="12" style="40" customWidth="1"/>
    <col min="8" max="8" width="15.33203125" style="7" customWidth="1"/>
    <col min="9" max="9" width="8.88671875" style="14"/>
    <col min="10" max="10" width="12.88671875" style="7" customWidth="1"/>
    <col min="11" max="11" width="8.88671875" style="7"/>
    <col min="12" max="12" width="12.88671875" style="7" customWidth="1"/>
    <col min="13" max="13" width="8.88671875" style="7"/>
    <col min="14" max="14" width="12.33203125" style="7" customWidth="1"/>
    <col min="15" max="16384" width="8.88671875" style="7"/>
  </cols>
  <sheetData>
    <row r="1" spans="1:15" ht="29.4" customHeight="1" x14ac:dyDescent="0.3">
      <c r="A1" s="119"/>
      <c r="B1" s="122" t="s">
        <v>102</v>
      </c>
      <c r="C1" s="123"/>
      <c r="D1" s="123"/>
      <c r="E1" s="123"/>
      <c r="F1" s="124"/>
      <c r="G1" s="122" t="s">
        <v>103</v>
      </c>
      <c r="H1" s="131"/>
      <c r="I1" s="131"/>
      <c r="J1" s="131"/>
      <c r="K1" s="131"/>
      <c r="L1" s="131"/>
      <c r="M1" s="132"/>
      <c r="N1" s="139" t="s">
        <v>0</v>
      </c>
      <c r="O1" s="140"/>
    </row>
    <row r="2" spans="1:15" ht="33.9" customHeight="1" x14ac:dyDescent="0.3">
      <c r="A2" s="120"/>
      <c r="B2" s="125"/>
      <c r="C2" s="126"/>
      <c r="D2" s="126"/>
      <c r="E2" s="126"/>
      <c r="F2" s="127"/>
      <c r="G2" s="133"/>
      <c r="H2" s="134"/>
      <c r="I2" s="134"/>
      <c r="J2" s="134"/>
      <c r="K2" s="134"/>
      <c r="L2" s="134"/>
      <c r="M2" s="135"/>
      <c r="N2" s="141"/>
      <c r="O2" s="142"/>
    </row>
    <row r="3" spans="1:15" ht="25.5" customHeight="1" thickBot="1" x14ac:dyDescent="0.35">
      <c r="A3" s="121"/>
      <c r="B3" s="128"/>
      <c r="C3" s="129"/>
      <c r="D3" s="129"/>
      <c r="E3" s="129"/>
      <c r="F3" s="130"/>
      <c r="G3" s="136"/>
      <c r="H3" s="137"/>
      <c r="I3" s="137"/>
      <c r="J3" s="137"/>
      <c r="K3" s="137"/>
      <c r="L3" s="137"/>
      <c r="M3" s="138"/>
      <c r="N3" s="143"/>
      <c r="O3" s="144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ht="36.75" customHeight="1" x14ac:dyDescent="0.3">
      <c r="A6" s="73">
        <v>1</v>
      </c>
      <c r="B6" s="73" t="s">
        <v>76</v>
      </c>
      <c r="C6" s="74" t="s">
        <v>57</v>
      </c>
      <c r="D6" s="9" t="s">
        <v>55</v>
      </c>
      <c r="E6" s="10" t="s">
        <v>41</v>
      </c>
      <c r="F6" s="11">
        <v>0.2</v>
      </c>
      <c r="G6" s="11" t="s">
        <v>67</v>
      </c>
      <c r="H6" s="11" t="s">
        <v>67</v>
      </c>
      <c r="I6" s="36">
        <v>15</v>
      </c>
      <c r="J6" s="11" t="s">
        <v>67</v>
      </c>
      <c r="K6" s="10">
        <v>14</v>
      </c>
      <c r="L6" s="11" t="s">
        <v>67</v>
      </c>
      <c r="M6" s="10">
        <v>13</v>
      </c>
      <c r="N6" s="11" t="s">
        <v>67</v>
      </c>
      <c r="O6" s="10">
        <v>18</v>
      </c>
    </row>
    <row r="7" spans="1:15" ht="36.75" customHeight="1" x14ac:dyDescent="0.3">
      <c r="A7" s="73"/>
      <c r="B7" s="73"/>
      <c r="C7" s="74"/>
      <c r="D7" s="9" t="s">
        <v>59</v>
      </c>
      <c r="E7" s="10" t="s">
        <v>11</v>
      </c>
      <c r="F7" s="11">
        <v>0.2</v>
      </c>
      <c r="G7" s="10" t="s">
        <v>68</v>
      </c>
      <c r="H7" s="10" t="s">
        <v>68</v>
      </c>
      <c r="I7" s="36">
        <v>15</v>
      </c>
      <c r="J7" s="10" t="s">
        <v>68</v>
      </c>
      <c r="K7" s="10">
        <v>14</v>
      </c>
      <c r="L7" s="10" t="s">
        <v>68</v>
      </c>
      <c r="M7" s="10">
        <v>16</v>
      </c>
      <c r="N7" s="10" t="s">
        <v>68</v>
      </c>
      <c r="O7" s="10">
        <v>18</v>
      </c>
    </row>
    <row r="8" spans="1:15" ht="43.5" customHeight="1" x14ac:dyDescent="0.3">
      <c r="A8" s="73">
        <v>3</v>
      </c>
      <c r="B8" s="73" t="s">
        <v>77</v>
      </c>
      <c r="C8" s="74" t="s">
        <v>12</v>
      </c>
      <c r="D8" s="9" t="s">
        <v>42</v>
      </c>
      <c r="E8" s="10" t="s">
        <v>13</v>
      </c>
      <c r="F8" s="11">
        <v>0.05</v>
      </c>
      <c r="G8" s="11">
        <v>1</v>
      </c>
      <c r="H8" s="11">
        <v>1</v>
      </c>
      <c r="I8" s="36">
        <v>5</v>
      </c>
      <c r="J8" s="11">
        <v>1</v>
      </c>
      <c r="K8" s="10">
        <v>5</v>
      </c>
      <c r="L8" s="11">
        <v>1</v>
      </c>
      <c r="M8" s="10">
        <v>5</v>
      </c>
      <c r="N8" s="11">
        <v>1</v>
      </c>
      <c r="O8" s="10">
        <v>5</v>
      </c>
    </row>
    <row r="9" spans="1:15" ht="43.5" customHeight="1" x14ac:dyDescent="0.3">
      <c r="A9" s="73"/>
      <c r="B9" s="73"/>
      <c r="C9" s="74"/>
      <c r="D9" s="9" t="s">
        <v>43</v>
      </c>
      <c r="E9" s="10" t="s">
        <v>44</v>
      </c>
      <c r="F9" s="11">
        <v>0.05</v>
      </c>
      <c r="G9" s="11">
        <v>1</v>
      </c>
      <c r="H9" s="11">
        <v>1</v>
      </c>
      <c r="I9" s="36">
        <v>4</v>
      </c>
      <c r="J9" s="11">
        <v>1</v>
      </c>
      <c r="K9" s="10">
        <v>4</v>
      </c>
      <c r="L9" s="11">
        <v>1</v>
      </c>
      <c r="M9" s="10">
        <v>4.5</v>
      </c>
      <c r="N9" s="11">
        <v>1</v>
      </c>
      <c r="O9" s="10">
        <v>4.5</v>
      </c>
    </row>
    <row r="10" spans="1:15" x14ac:dyDescent="0.3">
      <c r="A10" s="73"/>
      <c r="B10" s="73"/>
      <c r="C10" s="74"/>
      <c r="D10" s="9" t="s">
        <v>45</v>
      </c>
      <c r="E10" s="10" t="s">
        <v>13</v>
      </c>
      <c r="F10" s="11">
        <v>0.03</v>
      </c>
      <c r="G10" s="11">
        <v>1</v>
      </c>
      <c r="H10" s="11">
        <v>1</v>
      </c>
      <c r="I10" s="36">
        <v>3</v>
      </c>
      <c r="J10" s="11">
        <v>1</v>
      </c>
      <c r="K10" s="10">
        <v>3</v>
      </c>
      <c r="L10" s="11">
        <v>1</v>
      </c>
      <c r="M10" s="10">
        <v>3</v>
      </c>
      <c r="N10" s="11">
        <v>1</v>
      </c>
      <c r="O10" s="10">
        <v>3</v>
      </c>
    </row>
    <row r="11" spans="1:15" ht="43.5" customHeight="1" x14ac:dyDescent="0.3">
      <c r="A11" s="73"/>
      <c r="B11" s="73"/>
      <c r="C11" s="74"/>
      <c r="D11" s="9" t="s">
        <v>46</v>
      </c>
      <c r="E11" s="10" t="s">
        <v>13</v>
      </c>
      <c r="F11" s="11">
        <v>0.05</v>
      </c>
      <c r="G11" s="11">
        <v>1</v>
      </c>
      <c r="H11" s="11">
        <v>1</v>
      </c>
      <c r="I11" s="36">
        <v>4</v>
      </c>
      <c r="J11" s="11">
        <v>1</v>
      </c>
      <c r="K11" s="36">
        <v>4</v>
      </c>
      <c r="L11" s="11">
        <v>1</v>
      </c>
      <c r="M11" s="36">
        <v>4</v>
      </c>
      <c r="N11" s="11">
        <v>1</v>
      </c>
      <c r="O11" s="36">
        <v>5</v>
      </c>
    </row>
    <row r="12" spans="1:15" ht="15.75" customHeight="1" x14ac:dyDescent="0.3">
      <c r="A12" s="73"/>
      <c r="B12" s="73"/>
      <c r="C12" s="74"/>
      <c r="D12" s="9" t="s">
        <v>47</v>
      </c>
      <c r="E12" s="10" t="s">
        <v>13</v>
      </c>
      <c r="F12" s="11">
        <v>0.04</v>
      </c>
      <c r="G12" s="11" t="s">
        <v>48</v>
      </c>
      <c r="H12" s="11" t="s">
        <v>48</v>
      </c>
      <c r="I12" s="36">
        <v>3</v>
      </c>
      <c r="J12" s="11" t="s">
        <v>48</v>
      </c>
      <c r="K12" s="36">
        <v>4</v>
      </c>
      <c r="L12" s="11" t="s">
        <v>48</v>
      </c>
      <c r="M12" s="36">
        <v>4</v>
      </c>
      <c r="N12" s="11" t="s">
        <v>48</v>
      </c>
      <c r="O12" s="36">
        <v>3.5</v>
      </c>
    </row>
    <row r="13" spans="1:15" ht="15" customHeight="1" x14ac:dyDescent="0.3">
      <c r="A13" s="73"/>
      <c r="B13" s="73"/>
      <c r="C13" s="74"/>
      <c r="D13" s="9" t="s">
        <v>49</v>
      </c>
      <c r="E13" s="10" t="s">
        <v>13</v>
      </c>
      <c r="F13" s="11">
        <v>0.03</v>
      </c>
      <c r="G13" s="11" t="s">
        <v>48</v>
      </c>
      <c r="H13" s="11" t="s">
        <v>48</v>
      </c>
      <c r="I13" s="36">
        <v>3</v>
      </c>
      <c r="J13" s="11" t="s">
        <v>48</v>
      </c>
      <c r="K13" s="36">
        <v>3</v>
      </c>
      <c r="L13" s="11" t="s">
        <v>48</v>
      </c>
      <c r="M13" s="36">
        <v>3</v>
      </c>
      <c r="N13" s="11" t="s">
        <v>48</v>
      </c>
      <c r="O13" s="36">
        <v>3</v>
      </c>
    </row>
    <row r="14" spans="1:15" x14ac:dyDescent="0.3">
      <c r="A14" s="73"/>
      <c r="B14" s="73"/>
      <c r="C14" s="13" t="s">
        <v>92</v>
      </c>
      <c r="D14" s="9" t="s">
        <v>89</v>
      </c>
      <c r="E14" s="10" t="s">
        <v>90</v>
      </c>
      <c r="F14" s="11">
        <v>0.1</v>
      </c>
      <c r="G14" s="11" t="s">
        <v>91</v>
      </c>
      <c r="H14" s="12">
        <v>1</v>
      </c>
      <c r="I14" s="36">
        <v>4</v>
      </c>
      <c r="J14" s="12">
        <v>1</v>
      </c>
      <c r="K14" s="12">
        <v>6</v>
      </c>
      <c r="L14" s="12">
        <v>1</v>
      </c>
      <c r="M14" s="12">
        <v>7</v>
      </c>
      <c r="N14" s="12">
        <v>1</v>
      </c>
      <c r="O14" s="12">
        <v>8</v>
      </c>
    </row>
    <row r="15" spans="1:15" ht="30" customHeight="1" x14ac:dyDescent="0.3">
      <c r="A15" s="73"/>
      <c r="B15" s="73"/>
      <c r="C15" s="13" t="s">
        <v>14</v>
      </c>
      <c r="D15" s="9" t="s">
        <v>51</v>
      </c>
      <c r="E15" s="10" t="s">
        <v>13</v>
      </c>
      <c r="F15" s="11">
        <v>0.05</v>
      </c>
      <c r="G15" s="11">
        <v>1</v>
      </c>
      <c r="H15" s="11">
        <v>1</v>
      </c>
      <c r="I15" s="36">
        <v>5</v>
      </c>
      <c r="J15" s="11">
        <v>1</v>
      </c>
      <c r="K15" s="10">
        <v>4.5</v>
      </c>
      <c r="L15" s="11">
        <v>1</v>
      </c>
      <c r="M15" s="10">
        <v>4.5</v>
      </c>
      <c r="N15" s="11">
        <v>1</v>
      </c>
      <c r="O15" s="10">
        <v>4.5</v>
      </c>
    </row>
    <row r="16" spans="1:15" x14ac:dyDescent="0.3">
      <c r="A16" s="73"/>
      <c r="B16" s="73"/>
      <c r="C16" s="74" t="s">
        <v>15</v>
      </c>
      <c r="D16" s="9" t="s">
        <v>52</v>
      </c>
      <c r="E16" s="10" t="s">
        <v>13</v>
      </c>
      <c r="F16" s="11">
        <v>0.05</v>
      </c>
      <c r="G16" s="11">
        <v>1</v>
      </c>
      <c r="H16" s="11">
        <v>1</v>
      </c>
      <c r="I16" s="36">
        <v>4</v>
      </c>
      <c r="J16" s="11">
        <v>1</v>
      </c>
      <c r="K16" s="36">
        <v>4</v>
      </c>
      <c r="L16" s="11">
        <v>1</v>
      </c>
      <c r="M16" s="36">
        <v>4</v>
      </c>
      <c r="N16" s="11">
        <v>1</v>
      </c>
      <c r="O16" s="36">
        <v>4.5</v>
      </c>
    </row>
    <row r="17" spans="1:15" x14ac:dyDescent="0.3">
      <c r="A17" s="73"/>
      <c r="B17" s="73"/>
      <c r="C17" s="74"/>
      <c r="D17" s="9" t="s">
        <v>53</v>
      </c>
      <c r="E17" s="10" t="s">
        <v>13</v>
      </c>
      <c r="F17" s="11">
        <v>0.05</v>
      </c>
      <c r="G17" s="11">
        <v>1</v>
      </c>
      <c r="H17" s="11">
        <v>1</v>
      </c>
      <c r="I17" s="36">
        <v>4</v>
      </c>
      <c r="J17" s="11">
        <v>1</v>
      </c>
      <c r="K17" s="36">
        <v>4</v>
      </c>
      <c r="L17" s="11">
        <v>1</v>
      </c>
      <c r="M17" s="36">
        <v>4</v>
      </c>
      <c r="N17" s="11">
        <v>1</v>
      </c>
      <c r="O17" s="36">
        <v>5</v>
      </c>
    </row>
    <row r="18" spans="1:15" x14ac:dyDescent="0.3">
      <c r="A18" s="73"/>
      <c r="B18" s="73"/>
      <c r="C18" s="74"/>
      <c r="D18" s="9" t="s">
        <v>54</v>
      </c>
      <c r="E18" s="10" t="s">
        <v>13</v>
      </c>
      <c r="F18" s="11">
        <v>0.05</v>
      </c>
      <c r="G18" s="11">
        <v>1</v>
      </c>
      <c r="H18" s="11">
        <v>1</v>
      </c>
      <c r="I18" s="36">
        <v>5</v>
      </c>
      <c r="J18" s="11">
        <v>1</v>
      </c>
      <c r="K18" s="36">
        <v>5</v>
      </c>
      <c r="L18" s="11">
        <v>1</v>
      </c>
      <c r="M18" s="36">
        <v>5</v>
      </c>
      <c r="N18" s="11">
        <v>1</v>
      </c>
      <c r="O18" s="36">
        <v>5</v>
      </c>
    </row>
    <row r="19" spans="1:15" x14ac:dyDescent="0.3">
      <c r="A19" s="73"/>
      <c r="B19" s="73"/>
      <c r="C19" s="74"/>
      <c r="D19" s="9" t="s">
        <v>16</v>
      </c>
      <c r="E19" s="10" t="s">
        <v>13</v>
      </c>
      <c r="F19" s="11">
        <v>0.05</v>
      </c>
      <c r="G19" s="11">
        <v>1</v>
      </c>
      <c r="H19" s="11">
        <v>1</v>
      </c>
      <c r="I19" s="36">
        <v>5</v>
      </c>
      <c r="J19" s="11">
        <v>1</v>
      </c>
      <c r="K19" s="36">
        <v>5</v>
      </c>
      <c r="L19" s="11">
        <v>1</v>
      </c>
      <c r="M19" s="36">
        <v>5</v>
      </c>
      <c r="N19" s="11">
        <v>1</v>
      </c>
      <c r="O19" s="36">
        <v>5</v>
      </c>
    </row>
    <row r="20" spans="1:15" x14ac:dyDescent="0.3">
      <c r="A20" s="9"/>
      <c r="B20" s="9"/>
      <c r="C20" s="9"/>
      <c r="D20" s="9"/>
      <c r="E20" s="9"/>
      <c r="F20" s="37">
        <f>SUM(F6:F19)</f>
        <v>1.0000000000000002</v>
      </c>
      <c r="G20" s="38"/>
      <c r="H20" s="38"/>
      <c r="I20" s="39">
        <f>SUM(I6:I19)</f>
        <v>79</v>
      </c>
      <c r="J20" s="38"/>
      <c r="K20" s="39">
        <f>SUM(K6:K19)</f>
        <v>79.5</v>
      </c>
      <c r="L20" s="38"/>
      <c r="M20" s="39">
        <f>SUM(M6:M19)</f>
        <v>82</v>
      </c>
      <c r="N20" s="38"/>
      <c r="O20" s="39">
        <f>SUM(O6:O19)</f>
        <v>92</v>
      </c>
    </row>
    <row r="22" spans="1:15" x14ac:dyDescent="0.3">
      <c r="C22" s="159" t="s">
        <v>150</v>
      </c>
      <c r="E22" s="7" t="s">
        <v>152</v>
      </c>
    </row>
  </sheetData>
  <mergeCells count="22">
    <mergeCell ref="A1:A3"/>
    <mergeCell ref="B1:F3"/>
    <mergeCell ref="G1:M3"/>
    <mergeCell ref="N1:O3"/>
    <mergeCell ref="A4:A5"/>
    <mergeCell ref="B4:B5"/>
    <mergeCell ref="C4:C5"/>
    <mergeCell ref="D4:D5"/>
    <mergeCell ref="E4:E5"/>
    <mergeCell ref="F4:F5"/>
    <mergeCell ref="G4:G5"/>
    <mergeCell ref="H4:I4"/>
    <mergeCell ref="L4:M4"/>
    <mergeCell ref="N4:O4"/>
    <mergeCell ref="J4:K4"/>
    <mergeCell ref="A6:A7"/>
    <mergeCell ref="B6:B7"/>
    <mergeCell ref="C6:C7"/>
    <mergeCell ref="A8:A19"/>
    <mergeCell ref="B8:B19"/>
    <mergeCell ref="C8:C13"/>
    <mergeCell ref="C16:C19"/>
  </mergeCells>
  <pageMargins left="7.874015748031496E-2" right="7.874015748031496E-2" top="0.19685039370078741" bottom="0.74803149606299213" header="3.937007874015748E-2" footer="3.937007874015748E-2"/>
  <pageSetup scale="6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3"/>
  <sheetViews>
    <sheetView zoomScaleNormal="100" workbookViewId="0">
      <selection activeCell="G1" sqref="G1:M3"/>
    </sheetView>
  </sheetViews>
  <sheetFormatPr defaultRowHeight="14.4" x14ac:dyDescent="0.3"/>
  <cols>
    <col min="1" max="1" width="8.88671875" style="7" customWidth="1"/>
    <col min="2" max="2" width="13.44140625" style="7" customWidth="1"/>
    <col min="3" max="3" width="17.109375" style="7" customWidth="1"/>
    <col min="4" max="4" width="32.44140625" style="7" customWidth="1"/>
    <col min="5" max="5" width="14.109375" style="7" customWidth="1"/>
    <col min="6" max="6" width="8.33203125" style="7" bestFit="1" customWidth="1"/>
    <col min="7" max="7" width="12" style="40" customWidth="1"/>
    <col min="8" max="8" width="15.33203125" style="7" customWidth="1"/>
    <col min="9" max="9" width="8.88671875" style="7"/>
    <col min="10" max="10" width="12.88671875" style="7" customWidth="1"/>
    <col min="11" max="11" width="8.88671875" style="7"/>
    <col min="12" max="12" width="12.88671875" style="7" customWidth="1"/>
    <col min="13" max="13" width="8.88671875" style="7"/>
    <col min="14" max="14" width="12.33203125" style="7" customWidth="1"/>
    <col min="15" max="16384" width="8.88671875" style="7"/>
  </cols>
  <sheetData>
    <row r="1" spans="1:15" ht="29.4" customHeight="1" x14ac:dyDescent="0.3">
      <c r="A1" s="119"/>
      <c r="B1" s="122" t="s">
        <v>105</v>
      </c>
      <c r="C1" s="123"/>
      <c r="D1" s="123"/>
      <c r="E1" s="123"/>
      <c r="F1" s="124"/>
      <c r="G1" s="122" t="s">
        <v>157</v>
      </c>
      <c r="H1" s="131"/>
      <c r="I1" s="131"/>
      <c r="J1" s="131"/>
      <c r="K1" s="131"/>
      <c r="L1" s="131"/>
      <c r="M1" s="132"/>
      <c r="N1" s="139" t="s">
        <v>0</v>
      </c>
      <c r="O1" s="140"/>
    </row>
    <row r="2" spans="1:15" ht="33.9" customHeight="1" x14ac:dyDescent="0.3">
      <c r="A2" s="120"/>
      <c r="B2" s="125"/>
      <c r="C2" s="126"/>
      <c r="D2" s="126"/>
      <c r="E2" s="126"/>
      <c r="F2" s="127"/>
      <c r="G2" s="133"/>
      <c r="H2" s="134"/>
      <c r="I2" s="134"/>
      <c r="J2" s="134"/>
      <c r="K2" s="134"/>
      <c r="L2" s="134"/>
      <c r="M2" s="135"/>
      <c r="N2" s="141"/>
      <c r="O2" s="142"/>
    </row>
    <row r="3" spans="1:15" ht="25.5" customHeight="1" thickBot="1" x14ac:dyDescent="0.35">
      <c r="A3" s="121"/>
      <c r="B3" s="128"/>
      <c r="C3" s="129"/>
      <c r="D3" s="129"/>
      <c r="E3" s="129"/>
      <c r="F3" s="130"/>
      <c r="G3" s="136"/>
      <c r="H3" s="137"/>
      <c r="I3" s="137"/>
      <c r="J3" s="137"/>
      <c r="K3" s="137"/>
      <c r="L3" s="137"/>
      <c r="M3" s="138"/>
      <c r="N3" s="143"/>
      <c r="O3" s="144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ht="36.75" customHeight="1" x14ac:dyDescent="0.3">
      <c r="A6" s="73">
        <v>1</v>
      </c>
      <c r="B6" s="73" t="s">
        <v>58</v>
      </c>
      <c r="C6" s="74" t="s">
        <v>57</v>
      </c>
      <c r="D6" s="9" t="s">
        <v>55</v>
      </c>
      <c r="E6" s="10" t="s">
        <v>41</v>
      </c>
      <c r="F6" s="11">
        <v>0.15</v>
      </c>
      <c r="G6" s="11" t="s">
        <v>67</v>
      </c>
      <c r="H6" s="11" t="s">
        <v>67</v>
      </c>
      <c r="I6" s="10">
        <v>13</v>
      </c>
      <c r="J6" s="11" t="s">
        <v>67</v>
      </c>
      <c r="K6" s="10">
        <v>14</v>
      </c>
      <c r="L6" s="11" t="s">
        <v>67</v>
      </c>
      <c r="M6" s="10">
        <v>14.5</v>
      </c>
      <c r="N6" s="11" t="s">
        <v>67</v>
      </c>
      <c r="O6" s="10">
        <v>14.5</v>
      </c>
    </row>
    <row r="7" spans="1:15" ht="36.75" customHeight="1" x14ac:dyDescent="0.3">
      <c r="A7" s="73"/>
      <c r="B7" s="73"/>
      <c r="C7" s="74"/>
      <c r="D7" s="9" t="s">
        <v>59</v>
      </c>
      <c r="E7" s="10" t="s">
        <v>11</v>
      </c>
      <c r="F7" s="11">
        <v>0.15</v>
      </c>
      <c r="G7" s="10" t="s">
        <v>68</v>
      </c>
      <c r="H7" s="10" t="s">
        <v>68</v>
      </c>
      <c r="I7" s="10">
        <v>13</v>
      </c>
      <c r="J7" s="10" t="s">
        <v>68</v>
      </c>
      <c r="K7" s="10">
        <v>14</v>
      </c>
      <c r="L7" s="10" t="s">
        <v>68</v>
      </c>
      <c r="M7" s="10">
        <v>14.5</v>
      </c>
      <c r="N7" s="10" t="s">
        <v>68</v>
      </c>
      <c r="O7" s="10">
        <v>14.5</v>
      </c>
    </row>
    <row r="8" spans="1:15" ht="43.5" customHeight="1" x14ac:dyDescent="0.3">
      <c r="A8" s="73">
        <v>3</v>
      </c>
      <c r="B8" s="73" t="s">
        <v>77</v>
      </c>
      <c r="C8" s="74" t="s">
        <v>12</v>
      </c>
      <c r="D8" s="9" t="s">
        <v>42</v>
      </c>
      <c r="E8" s="10" t="s">
        <v>13</v>
      </c>
      <c r="F8" s="11">
        <v>7.0000000000000007E-2</v>
      </c>
      <c r="G8" s="11">
        <v>1</v>
      </c>
      <c r="H8" s="11">
        <v>1</v>
      </c>
      <c r="I8" s="10">
        <v>7</v>
      </c>
      <c r="J8" s="11">
        <v>1</v>
      </c>
      <c r="K8" s="10">
        <v>6.5</v>
      </c>
      <c r="L8" s="11">
        <v>1</v>
      </c>
      <c r="M8" s="10">
        <v>7</v>
      </c>
      <c r="N8" s="11">
        <v>1</v>
      </c>
      <c r="O8" s="10">
        <v>7</v>
      </c>
    </row>
    <row r="9" spans="1:15" ht="43.5" customHeight="1" x14ac:dyDescent="0.3">
      <c r="A9" s="73"/>
      <c r="B9" s="73"/>
      <c r="C9" s="74"/>
      <c r="D9" s="9" t="s">
        <v>43</v>
      </c>
      <c r="E9" s="10" t="s">
        <v>44</v>
      </c>
      <c r="F9" s="11">
        <v>0.05</v>
      </c>
      <c r="G9" s="11">
        <v>1</v>
      </c>
      <c r="H9" s="11">
        <v>1</v>
      </c>
      <c r="I9" s="36">
        <v>5</v>
      </c>
      <c r="J9" s="11">
        <v>1</v>
      </c>
      <c r="K9" s="10">
        <v>4.5</v>
      </c>
      <c r="L9" s="11">
        <v>1</v>
      </c>
      <c r="M9" s="10">
        <v>4.5</v>
      </c>
      <c r="N9" s="11">
        <v>1</v>
      </c>
      <c r="O9" s="10">
        <v>4.5</v>
      </c>
    </row>
    <row r="10" spans="1:15" x14ac:dyDescent="0.3">
      <c r="A10" s="73"/>
      <c r="B10" s="73"/>
      <c r="C10" s="74"/>
      <c r="D10" s="9" t="s">
        <v>45</v>
      </c>
      <c r="E10" s="10" t="s">
        <v>13</v>
      </c>
      <c r="F10" s="11">
        <v>0.03</v>
      </c>
      <c r="G10" s="11">
        <v>1</v>
      </c>
      <c r="H10" s="11">
        <v>1</v>
      </c>
      <c r="I10" s="36">
        <v>3</v>
      </c>
      <c r="J10" s="11">
        <v>1</v>
      </c>
      <c r="K10" s="10">
        <v>3</v>
      </c>
      <c r="L10" s="11">
        <v>1</v>
      </c>
      <c r="M10" s="10">
        <v>3</v>
      </c>
      <c r="N10" s="11">
        <v>1</v>
      </c>
      <c r="O10" s="10">
        <v>3</v>
      </c>
    </row>
    <row r="11" spans="1:15" ht="43.5" customHeight="1" x14ac:dyDescent="0.3">
      <c r="A11" s="73"/>
      <c r="B11" s="73"/>
      <c r="C11" s="74"/>
      <c r="D11" s="9" t="s">
        <v>46</v>
      </c>
      <c r="E11" s="10" t="s">
        <v>13</v>
      </c>
      <c r="F11" s="11">
        <v>0.05</v>
      </c>
      <c r="G11" s="11">
        <v>1</v>
      </c>
      <c r="H11" s="11">
        <v>1</v>
      </c>
      <c r="I11" s="36">
        <v>4</v>
      </c>
      <c r="J11" s="11">
        <v>1</v>
      </c>
      <c r="K11" s="36">
        <v>4</v>
      </c>
      <c r="L11" s="11">
        <v>1</v>
      </c>
      <c r="M11" s="36">
        <v>4.5</v>
      </c>
      <c r="N11" s="11">
        <v>1</v>
      </c>
      <c r="O11" s="36">
        <v>4.5</v>
      </c>
    </row>
    <row r="12" spans="1:15" ht="15.75" customHeight="1" x14ac:dyDescent="0.3">
      <c r="A12" s="73"/>
      <c r="B12" s="73"/>
      <c r="C12" s="74"/>
      <c r="D12" s="9" t="s">
        <v>47</v>
      </c>
      <c r="E12" s="10" t="s">
        <v>13</v>
      </c>
      <c r="F12" s="11">
        <v>0.05</v>
      </c>
      <c r="G12" s="11" t="s">
        <v>48</v>
      </c>
      <c r="H12" s="11" t="s">
        <v>48</v>
      </c>
      <c r="I12" s="36">
        <v>4</v>
      </c>
      <c r="J12" s="11" t="s">
        <v>48</v>
      </c>
      <c r="K12" s="36">
        <v>4</v>
      </c>
      <c r="L12" s="11" t="s">
        <v>48</v>
      </c>
      <c r="M12" s="36">
        <v>4</v>
      </c>
      <c r="N12" s="11" t="s">
        <v>48</v>
      </c>
      <c r="O12" s="36">
        <v>4</v>
      </c>
    </row>
    <row r="13" spans="1:15" ht="15" customHeight="1" x14ac:dyDescent="0.3">
      <c r="A13" s="73"/>
      <c r="B13" s="73"/>
      <c r="C13" s="74"/>
      <c r="D13" s="9" t="s">
        <v>49</v>
      </c>
      <c r="E13" s="10" t="s">
        <v>13</v>
      </c>
      <c r="F13" s="11">
        <v>0.03</v>
      </c>
      <c r="G13" s="11" t="s">
        <v>48</v>
      </c>
      <c r="H13" s="11" t="s">
        <v>48</v>
      </c>
      <c r="I13" s="36">
        <v>3</v>
      </c>
      <c r="J13" s="11" t="s">
        <v>48</v>
      </c>
      <c r="K13" s="36">
        <v>3</v>
      </c>
      <c r="L13" s="11" t="s">
        <v>48</v>
      </c>
      <c r="M13" s="36">
        <v>3</v>
      </c>
      <c r="N13" s="11" t="s">
        <v>48</v>
      </c>
      <c r="O13" s="36">
        <v>3</v>
      </c>
    </row>
    <row r="14" spans="1:15" x14ac:dyDescent="0.3">
      <c r="A14" s="73"/>
      <c r="B14" s="73"/>
      <c r="C14" s="74"/>
      <c r="D14" s="9" t="s">
        <v>50</v>
      </c>
      <c r="E14" s="10" t="s">
        <v>13</v>
      </c>
      <c r="F14" s="11">
        <v>0.05</v>
      </c>
      <c r="G14" s="11" t="s">
        <v>48</v>
      </c>
      <c r="H14" s="11" t="s">
        <v>48</v>
      </c>
      <c r="I14" s="36">
        <v>4</v>
      </c>
      <c r="J14" s="11" t="s">
        <v>48</v>
      </c>
      <c r="K14" s="36">
        <v>4</v>
      </c>
      <c r="L14" s="11" t="s">
        <v>48</v>
      </c>
      <c r="M14" s="36">
        <v>4</v>
      </c>
      <c r="N14" s="11" t="s">
        <v>48</v>
      </c>
      <c r="O14" s="36">
        <v>4</v>
      </c>
    </row>
    <row r="15" spans="1:15" x14ac:dyDescent="0.3">
      <c r="A15" s="73"/>
      <c r="B15" s="73"/>
      <c r="C15" s="13" t="s">
        <v>92</v>
      </c>
      <c r="D15" s="9" t="s">
        <v>89</v>
      </c>
      <c r="E15" s="10" t="s">
        <v>90</v>
      </c>
      <c r="F15" s="11">
        <v>0.1</v>
      </c>
      <c r="G15" s="11" t="s">
        <v>91</v>
      </c>
      <c r="H15" s="12">
        <v>1</v>
      </c>
      <c r="I15" s="36">
        <v>8</v>
      </c>
      <c r="J15" s="12">
        <v>1</v>
      </c>
      <c r="K15" s="36">
        <v>8</v>
      </c>
      <c r="L15" s="12">
        <v>1</v>
      </c>
      <c r="M15" s="36">
        <v>8</v>
      </c>
      <c r="N15" s="12">
        <v>1</v>
      </c>
      <c r="O15" s="36">
        <v>7</v>
      </c>
    </row>
    <row r="16" spans="1:15" ht="30" customHeight="1" x14ac:dyDescent="0.3">
      <c r="A16" s="73"/>
      <c r="B16" s="73"/>
      <c r="C16" s="13" t="s">
        <v>14</v>
      </c>
      <c r="D16" s="9" t="s">
        <v>51</v>
      </c>
      <c r="E16" s="10" t="s">
        <v>13</v>
      </c>
      <c r="F16" s="11">
        <v>7.0000000000000007E-2</v>
      </c>
      <c r="G16" s="11">
        <v>1</v>
      </c>
      <c r="H16" s="11">
        <v>1</v>
      </c>
      <c r="I16" s="36">
        <v>5</v>
      </c>
      <c r="J16" s="11">
        <v>1</v>
      </c>
      <c r="K16" s="36">
        <v>5</v>
      </c>
      <c r="L16" s="11">
        <v>1</v>
      </c>
      <c r="M16" s="36">
        <v>5</v>
      </c>
      <c r="N16" s="11">
        <v>1</v>
      </c>
      <c r="O16" s="36">
        <v>6</v>
      </c>
    </row>
    <row r="17" spans="1:15" x14ac:dyDescent="0.3">
      <c r="A17" s="73"/>
      <c r="B17" s="73"/>
      <c r="C17" s="74" t="s">
        <v>15</v>
      </c>
      <c r="D17" s="9" t="s">
        <v>52</v>
      </c>
      <c r="E17" s="10" t="s">
        <v>13</v>
      </c>
      <c r="F17" s="11">
        <v>0.05</v>
      </c>
      <c r="G17" s="11">
        <v>1</v>
      </c>
      <c r="H17" s="11">
        <v>1</v>
      </c>
      <c r="I17" s="36">
        <v>4</v>
      </c>
      <c r="J17" s="11">
        <v>1</v>
      </c>
      <c r="K17" s="36">
        <v>5</v>
      </c>
      <c r="L17" s="11">
        <v>1</v>
      </c>
      <c r="M17" s="36">
        <v>5</v>
      </c>
      <c r="N17" s="11">
        <v>1</v>
      </c>
      <c r="O17" s="36">
        <v>5</v>
      </c>
    </row>
    <row r="18" spans="1:15" x14ac:dyDescent="0.3">
      <c r="A18" s="73"/>
      <c r="B18" s="73"/>
      <c r="C18" s="74"/>
      <c r="D18" s="9" t="s">
        <v>53</v>
      </c>
      <c r="E18" s="10" t="s">
        <v>13</v>
      </c>
      <c r="F18" s="11">
        <v>0.05</v>
      </c>
      <c r="G18" s="11">
        <v>1</v>
      </c>
      <c r="H18" s="11">
        <v>1</v>
      </c>
      <c r="I18" s="36">
        <v>4</v>
      </c>
      <c r="J18" s="11">
        <v>1</v>
      </c>
      <c r="K18" s="36">
        <v>5</v>
      </c>
      <c r="L18" s="11">
        <v>1</v>
      </c>
      <c r="M18" s="36">
        <v>5</v>
      </c>
      <c r="N18" s="11">
        <v>1</v>
      </c>
      <c r="O18" s="36">
        <v>5</v>
      </c>
    </row>
    <row r="19" spans="1:15" x14ac:dyDescent="0.3">
      <c r="A19" s="73"/>
      <c r="B19" s="73"/>
      <c r="C19" s="74"/>
      <c r="D19" s="9" t="s">
        <v>54</v>
      </c>
      <c r="E19" s="10" t="s">
        <v>13</v>
      </c>
      <c r="F19" s="11">
        <v>0.05</v>
      </c>
      <c r="G19" s="11">
        <v>1</v>
      </c>
      <c r="H19" s="11">
        <v>1</v>
      </c>
      <c r="I19" s="36">
        <v>4</v>
      </c>
      <c r="J19" s="11">
        <v>1</v>
      </c>
      <c r="K19" s="36">
        <v>5</v>
      </c>
      <c r="L19" s="11">
        <v>1</v>
      </c>
      <c r="M19" s="36">
        <v>5</v>
      </c>
      <c r="N19" s="11">
        <v>1</v>
      </c>
      <c r="O19" s="36">
        <v>5</v>
      </c>
    </row>
    <row r="20" spans="1:15" x14ac:dyDescent="0.3">
      <c r="A20" s="73"/>
      <c r="B20" s="73"/>
      <c r="C20" s="74"/>
      <c r="D20" s="9" t="s">
        <v>16</v>
      </c>
      <c r="E20" s="10" t="s">
        <v>13</v>
      </c>
      <c r="F20" s="11">
        <v>0.05</v>
      </c>
      <c r="G20" s="11">
        <v>1</v>
      </c>
      <c r="H20" s="11">
        <v>1</v>
      </c>
      <c r="I20" s="36">
        <v>4</v>
      </c>
      <c r="J20" s="11">
        <v>1</v>
      </c>
      <c r="K20" s="36">
        <v>5</v>
      </c>
      <c r="L20" s="11">
        <v>1</v>
      </c>
      <c r="M20" s="36">
        <v>5</v>
      </c>
      <c r="N20" s="11">
        <v>1</v>
      </c>
      <c r="O20" s="36">
        <v>5</v>
      </c>
    </row>
    <row r="21" spans="1:15" x14ac:dyDescent="0.3">
      <c r="A21" s="41"/>
      <c r="B21" s="41"/>
      <c r="C21" s="41"/>
      <c r="D21" s="41"/>
      <c r="E21" s="41"/>
      <c r="F21" s="42">
        <f>SUM(F6:F20)</f>
        <v>1.0000000000000002</v>
      </c>
      <c r="G21" s="41"/>
      <c r="H21" s="41"/>
      <c r="I21" s="39">
        <f>SUM(I6:I20)</f>
        <v>85</v>
      </c>
      <c r="J21" s="41"/>
      <c r="K21" s="39">
        <f>SUM(K6:K20)</f>
        <v>90</v>
      </c>
      <c r="L21" s="41"/>
      <c r="M21" s="39">
        <f>SUM(M6:M20)</f>
        <v>92</v>
      </c>
      <c r="N21" s="41"/>
      <c r="O21" s="39">
        <f>SUM(O6:O20)</f>
        <v>92</v>
      </c>
    </row>
    <row r="23" spans="1:15" x14ac:dyDescent="0.3">
      <c r="D23" s="159" t="s">
        <v>150</v>
      </c>
      <c r="E23" s="7" t="s">
        <v>152</v>
      </c>
    </row>
  </sheetData>
  <mergeCells count="22">
    <mergeCell ref="A1:A3"/>
    <mergeCell ref="B1:F3"/>
    <mergeCell ref="G1:M3"/>
    <mergeCell ref="N1:O3"/>
    <mergeCell ref="F4:F5"/>
    <mergeCell ref="G4:G5"/>
    <mergeCell ref="H4:I4"/>
    <mergeCell ref="L4:M4"/>
    <mergeCell ref="N4:O4"/>
    <mergeCell ref="J4:K4"/>
    <mergeCell ref="A4:A5"/>
    <mergeCell ref="B4:B5"/>
    <mergeCell ref="C4:C5"/>
    <mergeCell ref="D4:D5"/>
    <mergeCell ref="E4:E5"/>
    <mergeCell ref="A6:A7"/>
    <mergeCell ref="B6:B7"/>
    <mergeCell ref="C6:C7"/>
    <mergeCell ref="A8:A20"/>
    <mergeCell ref="B8:B20"/>
    <mergeCell ref="C8:C14"/>
    <mergeCell ref="C17:C20"/>
  </mergeCells>
  <pageMargins left="0.19685039370078741" right="0.19685039370078741" top="0.19685039370078741" bottom="0.19685039370078741" header="0.19685039370078741" footer="3.937007874015748E-2"/>
  <pageSetup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EF85-4A92-46B0-A0BF-1493F78D9E3A}">
  <sheetPr>
    <pageSetUpPr fitToPage="1"/>
  </sheetPr>
  <dimension ref="A1:O25"/>
  <sheetViews>
    <sheetView topLeftCell="B1" workbookViewId="0">
      <selection activeCell="D23" sqref="D23"/>
    </sheetView>
  </sheetViews>
  <sheetFormatPr defaultRowHeight="14.4" x14ac:dyDescent="0.3"/>
  <cols>
    <col min="1" max="1" width="8.88671875" style="18"/>
    <col min="2" max="2" width="13.44140625" style="18" customWidth="1"/>
    <col min="3" max="3" width="17.109375" style="18" customWidth="1"/>
    <col min="4" max="4" width="45.5546875" style="18" customWidth="1"/>
    <col min="5" max="5" width="14.109375" style="18" customWidth="1"/>
    <col min="6" max="6" width="8.44140625" style="18" bestFit="1" customWidth="1"/>
    <col min="7" max="7" width="12" style="34" customWidth="1"/>
    <col min="8" max="8" width="15.44140625" style="18" customWidth="1"/>
    <col min="9" max="9" width="10.33203125" style="45" customWidth="1"/>
    <col min="10" max="10" width="12.88671875" style="18" customWidth="1"/>
    <col min="11" max="11" width="8.88671875" style="18"/>
    <col min="12" max="12" width="12.88671875" style="18" customWidth="1"/>
    <col min="13" max="13" width="8.88671875" style="18"/>
    <col min="14" max="14" width="12.44140625" style="18" customWidth="1"/>
    <col min="15" max="16384" width="8.88671875" style="18"/>
  </cols>
  <sheetData>
    <row r="1" spans="1:15" s="7" customFormat="1" ht="29.4" customHeight="1" x14ac:dyDescent="0.3">
      <c r="A1" s="46"/>
      <c r="B1" s="49" t="s">
        <v>100</v>
      </c>
      <c r="C1" s="50"/>
      <c r="D1" s="50"/>
      <c r="E1" s="50"/>
      <c r="F1" s="51"/>
      <c r="G1" s="58" t="s">
        <v>99</v>
      </c>
      <c r="H1" s="59"/>
      <c r="I1" s="59"/>
      <c r="J1" s="59"/>
      <c r="K1" s="59"/>
      <c r="L1" s="59"/>
      <c r="M1" s="60"/>
      <c r="N1" s="67" t="s">
        <v>0</v>
      </c>
      <c r="O1" s="68"/>
    </row>
    <row r="2" spans="1:15" s="7" customFormat="1" ht="33.9" customHeight="1" x14ac:dyDescent="0.3">
      <c r="A2" s="47"/>
      <c r="B2" s="52"/>
      <c r="C2" s="53"/>
      <c r="D2" s="53"/>
      <c r="E2" s="53"/>
      <c r="F2" s="54"/>
      <c r="G2" s="61"/>
      <c r="H2" s="62"/>
      <c r="I2" s="62"/>
      <c r="J2" s="62"/>
      <c r="K2" s="62"/>
      <c r="L2" s="62"/>
      <c r="M2" s="63"/>
      <c r="N2" s="69"/>
      <c r="O2" s="70"/>
    </row>
    <row r="3" spans="1:15" s="7" customFormat="1" ht="28.2" customHeight="1" thickBot="1" x14ac:dyDescent="0.35">
      <c r="A3" s="48"/>
      <c r="B3" s="55"/>
      <c r="C3" s="56"/>
      <c r="D3" s="56"/>
      <c r="E3" s="56"/>
      <c r="F3" s="57"/>
      <c r="G3" s="64"/>
      <c r="H3" s="65"/>
      <c r="I3" s="65"/>
      <c r="J3" s="65"/>
      <c r="K3" s="65"/>
      <c r="L3" s="65"/>
      <c r="M3" s="66"/>
      <c r="N3" s="71"/>
      <c r="O3" s="72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x14ac:dyDescent="0.3">
      <c r="A6" s="73">
        <v>1</v>
      </c>
      <c r="B6" s="83" t="s">
        <v>77</v>
      </c>
      <c r="C6" s="74" t="s">
        <v>57</v>
      </c>
      <c r="D6" s="160" t="s">
        <v>55</v>
      </c>
      <c r="E6" s="17" t="s">
        <v>41</v>
      </c>
      <c r="F6" s="11">
        <v>0.2</v>
      </c>
      <c r="G6" s="11" t="s">
        <v>67</v>
      </c>
      <c r="H6" s="11" t="s">
        <v>67</v>
      </c>
      <c r="I6" s="43">
        <v>15</v>
      </c>
      <c r="J6" s="11" t="s">
        <v>67</v>
      </c>
      <c r="K6" s="43">
        <v>17</v>
      </c>
      <c r="L6" s="11" t="s">
        <v>67</v>
      </c>
      <c r="M6" s="43">
        <v>17.5</v>
      </c>
      <c r="N6" s="11" t="s">
        <v>67</v>
      </c>
      <c r="O6" s="43">
        <v>17</v>
      </c>
    </row>
    <row r="7" spans="1:15" ht="27.6" x14ac:dyDescent="0.3">
      <c r="A7" s="73"/>
      <c r="B7" s="84"/>
      <c r="C7" s="74"/>
      <c r="D7" s="160" t="s">
        <v>59</v>
      </c>
      <c r="E7" s="10" t="s">
        <v>11</v>
      </c>
      <c r="F7" s="11">
        <v>0.2</v>
      </c>
      <c r="G7" s="10" t="s">
        <v>68</v>
      </c>
      <c r="H7" s="10" t="s">
        <v>68</v>
      </c>
      <c r="I7" s="43">
        <v>15</v>
      </c>
      <c r="J7" s="10" t="s">
        <v>68</v>
      </c>
      <c r="K7" s="43">
        <v>16</v>
      </c>
      <c r="L7" s="10" t="s">
        <v>68</v>
      </c>
      <c r="M7" s="43">
        <v>17</v>
      </c>
      <c r="N7" s="10" t="s">
        <v>68</v>
      </c>
      <c r="O7" s="43">
        <v>17</v>
      </c>
    </row>
    <row r="8" spans="1:15" ht="79.2" customHeight="1" x14ac:dyDescent="0.3">
      <c r="A8" s="73">
        <v>3</v>
      </c>
      <c r="B8" s="84"/>
      <c r="C8" s="74" t="s">
        <v>12</v>
      </c>
      <c r="D8" s="160" t="s">
        <v>42</v>
      </c>
      <c r="E8" s="17" t="s">
        <v>13</v>
      </c>
      <c r="F8" s="11">
        <v>0.05</v>
      </c>
      <c r="G8" s="11">
        <v>1</v>
      </c>
      <c r="H8" s="11">
        <v>1</v>
      </c>
      <c r="I8" s="43">
        <v>4</v>
      </c>
      <c r="J8" s="11">
        <v>1</v>
      </c>
      <c r="K8" s="43">
        <v>4</v>
      </c>
      <c r="L8" s="11">
        <v>1</v>
      </c>
      <c r="M8" s="43">
        <v>4</v>
      </c>
      <c r="N8" s="11">
        <v>1</v>
      </c>
      <c r="O8" s="43">
        <v>5</v>
      </c>
    </row>
    <row r="9" spans="1:15" s="7" customFormat="1" ht="27.6" x14ac:dyDescent="0.3">
      <c r="A9" s="73"/>
      <c r="B9" s="84"/>
      <c r="C9" s="74"/>
      <c r="D9" s="161" t="s">
        <v>43</v>
      </c>
      <c r="E9" s="10" t="s">
        <v>44</v>
      </c>
      <c r="F9" s="11">
        <v>0.05</v>
      </c>
      <c r="G9" s="11">
        <v>1</v>
      </c>
      <c r="H9" s="11">
        <v>1</v>
      </c>
      <c r="I9" s="36">
        <v>4</v>
      </c>
      <c r="J9" s="11">
        <v>1</v>
      </c>
      <c r="K9" s="36">
        <v>4</v>
      </c>
      <c r="L9" s="11">
        <v>1</v>
      </c>
      <c r="M9" s="36">
        <v>4.5</v>
      </c>
      <c r="N9" s="11">
        <v>1</v>
      </c>
      <c r="O9" s="36">
        <v>4.5</v>
      </c>
    </row>
    <row r="10" spans="1:15" x14ac:dyDescent="0.3">
      <c r="A10" s="73"/>
      <c r="B10" s="84"/>
      <c r="C10" s="74"/>
      <c r="D10" s="160" t="s">
        <v>45</v>
      </c>
      <c r="E10" s="17" t="s">
        <v>13</v>
      </c>
      <c r="F10" s="11">
        <v>0.03</v>
      </c>
      <c r="G10" s="11">
        <v>1</v>
      </c>
      <c r="H10" s="11">
        <v>1</v>
      </c>
      <c r="I10" s="43">
        <v>3</v>
      </c>
      <c r="J10" s="11">
        <v>1</v>
      </c>
      <c r="K10" s="43">
        <v>3</v>
      </c>
      <c r="L10" s="11">
        <v>1</v>
      </c>
      <c r="M10" s="43">
        <v>3</v>
      </c>
      <c r="N10" s="11">
        <v>1</v>
      </c>
      <c r="O10" s="43">
        <v>3</v>
      </c>
    </row>
    <row r="11" spans="1:15" x14ac:dyDescent="0.3">
      <c r="A11" s="73"/>
      <c r="B11" s="84"/>
      <c r="C11" s="74"/>
      <c r="D11" s="160" t="s">
        <v>46</v>
      </c>
      <c r="E11" s="17" t="s">
        <v>13</v>
      </c>
      <c r="F11" s="11">
        <v>0.05</v>
      </c>
      <c r="G11" s="11">
        <v>1</v>
      </c>
      <c r="H11" s="11">
        <v>1</v>
      </c>
      <c r="I11" s="36">
        <v>4</v>
      </c>
      <c r="J11" s="11">
        <v>1</v>
      </c>
      <c r="K11" s="36">
        <v>4</v>
      </c>
      <c r="L11" s="11">
        <v>1</v>
      </c>
      <c r="M11" s="36">
        <v>4</v>
      </c>
      <c r="N11" s="11">
        <v>1</v>
      </c>
      <c r="O11" s="36">
        <v>5</v>
      </c>
    </row>
    <row r="12" spans="1:15" x14ac:dyDescent="0.3">
      <c r="A12" s="73"/>
      <c r="B12" s="84"/>
      <c r="C12" s="74"/>
      <c r="D12" s="160" t="s">
        <v>47</v>
      </c>
      <c r="E12" s="17" t="s">
        <v>13</v>
      </c>
      <c r="F12" s="11">
        <v>0.04</v>
      </c>
      <c r="G12" s="11" t="s">
        <v>48</v>
      </c>
      <c r="H12" s="11" t="s">
        <v>48</v>
      </c>
      <c r="I12" s="36">
        <v>3.5</v>
      </c>
      <c r="J12" s="11" t="s">
        <v>48</v>
      </c>
      <c r="K12" s="36">
        <v>3.5</v>
      </c>
      <c r="L12" s="11" t="s">
        <v>48</v>
      </c>
      <c r="M12" s="36">
        <v>3.5</v>
      </c>
      <c r="N12" s="11" t="s">
        <v>48</v>
      </c>
      <c r="O12" s="36">
        <v>3.5</v>
      </c>
    </row>
    <row r="13" spans="1:15" x14ac:dyDescent="0.3">
      <c r="A13" s="73"/>
      <c r="B13" s="84"/>
      <c r="C13" s="13" t="s">
        <v>92</v>
      </c>
      <c r="D13" s="160" t="s">
        <v>89</v>
      </c>
      <c r="E13" s="17" t="s">
        <v>90</v>
      </c>
      <c r="F13" s="11">
        <v>0.1</v>
      </c>
      <c r="G13" s="11" t="s">
        <v>91</v>
      </c>
      <c r="H13" s="12">
        <v>1</v>
      </c>
      <c r="I13" s="36">
        <v>8</v>
      </c>
      <c r="J13" s="12">
        <v>1</v>
      </c>
      <c r="K13" s="36">
        <v>8</v>
      </c>
      <c r="L13" s="12">
        <v>1</v>
      </c>
      <c r="M13" s="36">
        <v>8</v>
      </c>
      <c r="N13" s="12">
        <v>1</v>
      </c>
      <c r="O13" s="36">
        <v>8</v>
      </c>
    </row>
    <row r="14" spans="1:15" s="7" customFormat="1" ht="27.6" x14ac:dyDescent="0.3">
      <c r="A14" s="73"/>
      <c r="B14" s="84"/>
      <c r="C14" s="13"/>
      <c r="D14" s="161" t="s">
        <v>51</v>
      </c>
      <c r="E14" s="10" t="s">
        <v>13</v>
      </c>
      <c r="F14" s="11">
        <v>0.05</v>
      </c>
      <c r="G14" s="11">
        <v>1</v>
      </c>
      <c r="H14" s="11">
        <v>1</v>
      </c>
      <c r="I14" s="36">
        <v>4</v>
      </c>
      <c r="J14" s="11">
        <v>1</v>
      </c>
      <c r="K14" s="36">
        <v>4</v>
      </c>
      <c r="L14" s="11">
        <v>1</v>
      </c>
      <c r="M14" s="36">
        <v>4</v>
      </c>
      <c r="N14" s="11">
        <v>1</v>
      </c>
      <c r="O14" s="36">
        <v>4</v>
      </c>
    </row>
    <row r="15" spans="1:15" x14ac:dyDescent="0.3">
      <c r="A15" s="73"/>
      <c r="B15" s="84"/>
      <c r="C15" s="74"/>
      <c r="D15" s="160" t="s">
        <v>52</v>
      </c>
      <c r="E15" s="17" t="s">
        <v>13</v>
      </c>
      <c r="F15" s="11">
        <v>0.05</v>
      </c>
      <c r="G15" s="11">
        <v>1</v>
      </c>
      <c r="H15" s="11">
        <v>1</v>
      </c>
      <c r="I15" s="36">
        <v>4</v>
      </c>
      <c r="J15" s="11">
        <v>1</v>
      </c>
      <c r="K15" s="36">
        <v>4</v>
      </c>
      <c r="L15" s="11">
        <v>1</v>
      </c>
      <c r="M15" s="36">
        <v>4</v>
      </c>
      <c r="N15" s="11">
        <v>1</v>
      </c>
      <c r="O15" s="36">
        <v>5</v>
      </c>
    </row>
    <row r="16" spans="1:15" x14ac:dyDescent="0.3">
      <c r="A16" s="73"/>
      <c r="B16" s="84"/>
      <c r="C16" s="74"/>
      <c r="D16" s="160" t="s">
        <v>53</v>
      </c>
      <c r="E16" s="17" t="s">
        <v>13</v>
      </c>
      <c r="F16" s="11">
        <v>0.05</v>
      </c>
      <c r="G16" s="11">
        <v>1</v>
      </c>
      <c r="H16" s="11">
        <v>1</v>
      </c>
      <c r="I16" s="36">
        <v>4</v>
      </c>
      <c r="J16" s="11">
        <v>1</v>
      </c>
      <c r="K16" s="36">
        <v>4</v>
      </c>
      <c r="L16" s="11">
        <v>1</v>
      </c>
      <c r="M16" s="36">
        <v>4</v>
      </c>
      <c r="N16" s="11">
        <v>1</v>
      </c>
      <c r="O16" s="36">
        <v>5</v>
      </c>
    </row>
    <row r="17" spans="1:15" x14ac:dyDescent="0.3">
      <c r="A17" s="73"/>
      <c r="B17" s="84"/>
      <c r="C17" s="74"/>
      <c r="D17" s="160" t="s">
        <v>54</v>
      </c>
      <c r="E17" s="17" t="s">
        <v>13</v>
      </c>
      <c r="F17" s="11">
        <v>0.08</v>
      </c>
      <c r="G17" s="11">
        <v>1</v>
      </c>
      <c r="H17" s="11">
        <v>1</v>
      </c>
      <c r="I17" s="36">
        <v>7</v>
      </c>
      <c r="J17" s="11">
        <v>1</v>
      </c>
      <c r="K17" s="36">
        <v>7</v>
      </c>
      <c r="L17" s="11">
        <v>1</v>
      </c>
      <c r="M17" s="36">
        <v>7</v>
      </c>
      <c r="N17" s="11">
        <v>1</v>
      </c>
      <c r="O17" s="36">
        <v>7</v>
      </c>
    </row>
    <row r="18" spans="1:15" x14ac:dyDescent="0.3">
      <c r="A18" s="83"/>
      <c r="B18" s="84"/>
      <c r="C18" s="156"/>
      <c r="D18" s="162" t="s">
        <v>16</v>
      </c>
      <c r="E18" s="167" t="s">
        <v>13</v>
      </c>
      <c r="F18" s="11">
        <v>0.05</v>
      </c>
      <c r="G18" s="11">
        <v>1</v>
      </c>
      <c r="H18" s="11">
        <v>1</v>
      </c>
      <c r="I18" s="36">
        <v>4</v>
      </c>
      <c r="J18" s="11">
        <v>1</v>
      </c>
      <c r="K18" s="36">
        <v>4</v>
      </c>
      <c r="L18" s="11">
        <v>1</v>
      </c>
      <c r="M18" s="36">
        <v>4.5</v>
      </c>
      <c r="N18" s="11">
        <v>1</v>
      </c>
      <c r="O18" s="36">
        <v>4.5</v>
      </c>
    </row>
    <row r="19" spans="1:15" x14ac:dyDescent="0.3">
      <c r="A19" s="26"/>
      <c r="B19" s="26"/>
      <c r="C19" s="26"/>
      <c r="D19" s="145"/>
      <c r="E19" s="26"/>
      <c r="F19" s="27">
        <f>SUM(F6:F18)</f>
        <v>1.0000000000000002</v>
      </c>
      <c r="G19" s="30"/>
      <c r="H19" s="30"/>
      <c r="I19" s="44">
        <f>SUM(I6:I18)</f>
        <v>79.5</v>
      </c>
      <c r="J19" s="30"/>
      <c r="K19" s="44">
        <f>SUM(K6:K18)</f>
        <v>82.5</v>
      </c>
      <c r="L19" s="30"/>
      <c r="M19" s="44">
        <f>SUM(M6:M18)</f>
        <v>85</v>
      </c>
      <c r="N19" s="30"/>
      <c r="O19" s="44">
        <f>SUM(O6:O18)</f>
        <v>88.5</v>
      </c>
    </row>
    <row r="20" spans="1:15" x14ac:dyDescent="0.3">
      <c r="D20" s="163"/>
    </row>
    <row r="21" spans="1:15" x14ac:dyDescent="0.3">
      <c r="D21" s="164"/>
    </row>
    <row r="22" spans="1:15" x14ac:dyDescent="0.3">
      <c r="D22" s="165"/>
    </row>
    <row r="23" spans="1:15" x14ac:dyDescent="0.3">
      <c r="D23" s="163"/>
    </row>
    <row r="24" spans="1:15" x14ac:dyDescent="0.3">
      <c r="D24" s="163"/>
    </row>
    <row r="25" spans="1:15" x14ac:dyDescent="0.3">
      <c r="D25" s="166"/>
    </row>
  </sheetData>
  <mergeCells count="21">
    <mergeCell ref="A6:A7"/>
    <mergeCell ref="C6:C7"/>
    <mergeCell ref="A8:A18"/>
    <mergeCell ref="C8:C12"/>
    <mergeCell ref="C15:C18"/>
    <mergeCell ref="B6:B18"/>
    <mergeCell ref="A1:A3"/>
    <mergeCell ref="B1:F3"/>
    <mergeCell ref="G1:M3"/>
    <mergeCell ref="N1:O3"/>
    <mergeCell ref="A4:A5"/>
    <mergeCell ref="B4:B5"/>
    <mergeCell ref="C4:C5"/>
    <mergeCell ref="D4:D5"/>
    <mergeCell ref="E4:E5"/>
    <mergeCell ref="F4:F5"/>
    <mergeCell ref="H4:I4"/>
    <mergeCell ref="J4:K4"/>
    <mergeCell ref="L4:M4"/>
    <mergeCell ref="N4:O4"/>
    <mergeCell ref="G4:G5"/>
  </mergeCells>
  <pageMargins left="0.19685039370078741" right="0" top="0.19685039370078741" bottom="0.39370078740157483" header="3.937007874015748E-2" footer="0.11811023622047245"/>
  <pageSetup paperSize="9" scale="6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F7AC-0D15-4321-A8DD-7ED6372ED95A}">
  <sheetPr>
    <pageSetUpPr fitToPage="1"/>
  </sheetPr>
  <dimension ref="A1:O25"/>
  <sheetViews>
    <sheetView topLeftCell="A10" zoomScaleNormal="100" workbookViewId="0">
      <selection activeCell="D28" sqref="D28"/>
    </sheetView>
  </sheetViews>
  <sheetFormatPr defaultRowHeight="14.4" x14ac:dyDescent="0.3"/>
  <cols>
    <col min="1" max="1" width="8.88671875" style="7" customWidth="1"/>
    <col min="2" max="2" width="13.44140625" style="7" customWidth="1"/>
    <col min="3" max="3" width="17.109375" style="7" customWidth="1"/>
    <col min="4" max="4" width="62" style="7" bestFit="1" customWidth="1"/>
    <col min="5" max="5" width="14.109375" style="7" customWidth="1"/>
    <col min="6" max="6" width="8.33203125" style="7" bestFit="1" customWidth="1"/>
    <col min="7" max="7" width="12" style="40" customWidth="1"/>
    <col min="8" max="8" width="15.33203125" style="7" customWidth="1"/>
    <col min="9" max="9" width="8.88671875" style="7"/>
    <col min="10" max="10" width="12.88671875" style="7" customWidth="1"/>
    <col min="11" max="11" width="8.88671875" style="7"/>
    <col min="12" max="12" width="12.88671875" style="7" customWidth="1"/>
    <col min="13" max="13" width="8.88671875" style="7"/>
    <col min="14" max="14" width="12.33203125" style="7" customWidth="1"/>
    <col min="15" max="16384" width="8.88671875" style="7"/>
  </cols>
  <sheetData>
    <row r="1" spans="1:15" ht="29.4" customHeight="1" x14ac:dyDescent="0.3">
      <c r="A1" s="119"/>
      <c r="B1" s="122" t="s">
        <v>126</v>
      </c>
      <c r="C1" s="123"/>
      <c r="D1" s="123"/>
      <c r="E1" s="123"/>
      <c r="F1" s="124"/>
      <c r="G1" s="122" t="s">
        <v>125</v>
      </c>
      <c r="H1" s="131"/>
      <c r="I1" s="131"/>
      <c r="J1" s="131"/>
      <c r="K1" s="131"/>
      <c r="L1" s="131"/>
      <c r="M1" s="132"/>
      <c r="N1" s="139" t="s">
        <v>0</v>
      </c>
      <c r="O1" s="140"/>
    </row>
    <row r="2" spans="1:15" ht="33.9" customHeight="1" x14ac:dyDescent="0.3">
      <c r="A2" s="120"/>
      <c r="B2" s="125"/>
      <c r="C2" s="126"/>
      <c r="D2" s="126"/>
      <c r="E2" s="126"/>
      <c r="F2" s="127"/>
      <c r="G2" s="133"/>
      <c r="H2" s="134"/>
      <c r="I2" s="134"/>
      <c r="J2" s="134"/>
      <c r="K2" s="134"/>
      <c r="L2" s="134"/>
      <c r="M2" s="135"/>
      <c r="N2" s="141"/>
      <c r="O2" s="142"/>
    </row>
    <row r="3" spans="1:15" ht="25.5" customHeight="1" thickBot="1" x14ac:dyDescent="0.35">
      <c r="A3" s="121"/>
      <c r="B3" s="128"/>
      <c r="C3" s="129"/>
      <c r="D3" s="129"/>
      <c r="E3" s="129"/>
      <c r="F3" s="130"/>
      <c r="G3" s="136"/>
      <c r="H3" s="137"/>
      <c r="I3" s="137"/>
      <c r="J3" s="137"/>
      <c r="K3" s="137"/>
      <c r="L3" s="137"/>
      <c r="M3" s="138"/>
      <c r="N3" s="143"/>
      <c r="O3" s="144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x14ac:dyDescent="0.3">
      <c r="A6" s="83">
        <v>1</v>
      </c>
      <c r="B6" s="83" t="s">
        <v>127</v>
      </c>
      <c r="C6" s="156" t="s">
        <v>57</v>
      </c>
      <c r="D6" s="145" t="s">
        <v>108</v>
      </c>
      <c r="E6" s="10" t="s">
        <v>41</v>
      </c>
      <c r="F6" s="11">
        <v>0.05</v>
      </c>
      <c r="G6" s="11" t="s">
        <v>67</v>
      </c>
      <c r="H6" s="11" t="s">
        <v>67</v>
      </c>
      <c r="I6" s="154">
        <v>4</v>
      </c>
      <c r="J6" s="11" t="s">
        <v>67</v>
      </c>
      <c r="K6" s="10">
        <v>5</v>
      </c>
      <c r="L6" s="11" t="s">
        <v>67</v>
      </c>
      <c r="M6" s="10">
        <v>5</v>
      </c>
      <c r="N6" s="11" t="s">
        <v>67</v>
      </c>
      <c r="O6" s="10">
        <v>5</v>
      </c>
    </row>
    <row r="7" spans="1:15" ht="27.6" x14ac:dyDescent="0.3">
      <c r="A7" s="84"/>
      <c r="B7" s="84"/>
      <c r="C7" s="157"/>
      <c r="D7" s="146" t="s">
        <v>109</v>
      </c>
      <c r="E7" s="10" t="s">
        <v>11</v>
      </c>
      <c r="F7" s="11">
        <v>0.05</v>
      </c>
      <c r="G7" s="10" t="s">
        <v>68</v>
      </c>
      <c r="H7" s="10" t="s">
        <v>68</v>
      </c>
      <c r="I7" s="154">
        <v>5</v>
      </c>
      <c r="J7" s="10" t="s">
        <v>68</v>
      </c>
      <c r="K7" s="10">
        <v>5</v>
      </c>
      <c r="L7" s="10" t="s">
        <v>68</v>
      </c>
      <c r="M7" s="10">
        <v>5</v>
      </c>
      <c r="N7" s="10" t="s">
        <v>68</v>
      </c>
      <c r="O7" s="10">
        <v>5</v>
      </c>
    </row>
    <row r="8" spans="1:15" ht="43.5" customHeight="1" x14ac:dyDescent="0.3">
      <c r="A8" s="84"/>
      <c r="B8" s="84"/>
      <c r="C8" s="157"/>
      <c r="D8" s="146" t="s">
        <v>110</v>
      </c>
      <c r="E8" s="10" t="s">
        <v>13</v>
      </c>
      <c r="F8" s="11">
        <v>7.0000000000000007E-2</v>
      </c>
      <c r="G8" s="11">
        <v>1</v>
      </c>
      <c r="H8" s="11">
        <v>1</v>
      </c>
      <c r="I8" s="154">
        <v>7</v>
      </c>
      <c r="J8" s="11">
        <v>1</v>
      </c>
      <c r="K8" s="10">
        <v>7</v>
      </c>
      <c r="L8" s="11">
        <v>1</v>
      </c>
      <c r="M8" s="10">
        <v>7</v>
      </c>
      <c r="N8" s="11">
        <v>1</v>
      </c>
      <c r="O8" s="10">
        <v>7</v>
      </c>
    </row>
    <row r="9" spans="1:15" ht="26.4" x14ac:dyDescent="0.3">
      <c r="A9" s="84"/>
      <c r="B9" s="84"/>
      <c r="C9" s="157"/>
      <c r="D9" s="146" t="s">
        <v>111</v>
      </c>
      <c r="E9" s="10" t="s">
        <v>44</v>
      </c>
      <c r="F9" s="11">
        <v>0.05</v>
      </c>
      <c r="G9" s="11">
        <v>1</v>
      </c>
      <c r="H9" s="11">
        <v>1</v>
      </c>
      <c r="I9" s="154">
        <v>5</v>
      </c>
      <c r="J9" s="11">
        <v>1</v>
      </c>
      <c r="K9" s="10">
        <v>5</v>
      </c>
      <c r="L9" s="11">
        <v>1</v>
      </c>
      <c r="M9" s="10">
        <v>5</v>
      </c>
      <c r="N9" s="11">
        <v>1</v>
      </c>
      <c r="O9" s="10">
        <v>5</v>
      </c>
    </row>
    <row r="10" spans="1:15" x14ac:dyDescent="0.3">
      <c r="A10" s="84"/>
      <c r="B10" s="84"/>
      <c r="C10" s="157"/>
      <c r="D10" s="146" t="s">
        <v>112</v>
      </c>
      <c r="E10" s="10" t="s">
        <v>13</v>
      </c>
      <c r="F10" s="11">
        <v>0.05</v>
      </c>
      <c r="G10" s="11">
        <v>1</v>
      </c>
      <c r="H10" s="11">
        <v>1</v>
      </c>
      <c r="I10" s="154">
        <v>5</v>
      </c>
      <c r="J10" s="11">
        <v>1</v>
      </c>
      <c r="K10" s="10">
        <v>4</v>
      </c>
      <c r="L10" s="11">
        <v>1</v>
      </c>
      <c r="M10" s="10">
        <v>5</v>
      </c>
      <c r="N10" s="11">
        <v>1</v>
      </c>
      <c r="O10" s="10">
        <v>5</v>
      </c>
    </row>
    <row r="11" spans="1:15" x14ac:dyDescent="0.3">
      <c r="A11" s="84"/>
      <c r="B11" s="84"/>
      <c r="C11" s="157"/>
      <c r="D11" s="145" t="s">
        <v>113</v>
      </c>
      <c r="E11" s="10" t="s">
        <v>13</v>
      </c>
      <c r="F11" s="11">
        <v>0.05</v>
      </c>
      <c r="G11" s="11">
        <v>1</v>
      </c>
      <c r="H11" s="11">
        <v>1</v>
      </c>
      <c r="I11" s="154">
        <v>4</v>
      </c>
      <c r="J11" s="11">
        <v>1</v>
      </c>
      <c r="K11" s="36">
        <v>4</v>
      </c>
      <c r="L11" s="11">
        <v>1</v>
      </c>
      <c r="M11" s="36">
        <v>4</v>
      </c>
      <c r="N11" s="11">
        <v>1</v>
      </c>
      <c r="O11" s="36">
        <v>5</v>
      </c>
    </row>
    <row r="12" spans="1:15" ht="15.75" customHeight="1" x14ac:dyDescent="0.3">
      <c r="A12" s="84"/>
      <c r="B12" s="84"/>
      <c r="C12" s="157"/>
      <c r="D12" s="146" t="s">
        <v>114</v>
      </c>
      <c r="E12" s="10" t="s">
        <v>13</v>
      </c>
      <c r="F12" s="11">
        <v>0.05</v>
      </c>
      <c r="G12" s="11" t="s">
        <v>48</v>
      </c>
      <c r="H12" s="11" t="s">
        <v>48</v>
      </c>
      <c r="I12" s="154">
        <v>4</v>
      </c>
      <c r="J12" s="11" t="s">
        <v>48</v>
      </c>
      <c r="K12" s="36">
        <v>4</v>
      </c>
      <c r="L12" s="11" t="s">
        <v>48</v>
      </c>
      <c r="M12" s="36">
        <v>4</v>
      </c>
      <c r="N12" s="11" t="s">
        <v>48</v>
      </c>
      <c r="O12" s="36">
        <v>4</v>
      </c>
    </row>
    <row r="13" spans="1:15" ht="15" customHeight="1" x14ac:dyDescent="0.3">
      <c r="A13" s="84"/>
      <c r="B13" s="84"/>
      <c r="C13" s="157"/>
      <c r="D13" s="146" t="s">
        <v>115</v>
      </c>
      <c r="E13" s="10" t="s">
        <v>13</v>
      </c>
      <c r="F13" s="11">
        <v>0.05</v>
      </c>
      <c r="G13" s="11" t="s">
        <v>48</v>
      </c>
      <c r="H13" s="11" t="s">
        <v>48</v>
      </c>
      <c r="I13" s="154">
        <v>3</v>
      </c>
      <c r="J13" s="11" t="s">
        <v>48</v>
      </c>
      <c r="K13" s="36">
        <v>3</v>
      </c>
      <c r="L13" s="11" t="s">
        <v>48</v>
      </c>
      <c r="M13" s="36">
        <v>3</v>
      </c>
      <c r="N13" s="11" t="s">
        <v>48</v>
      </c>
      <c r="O13" s="36">
        <v>3</v>
      </c>
    </row>
    <row r="14" spans="1:15" x14ac:dyDescent="0.3">
      <c r="A14" s="84"/>
      <c r="B14" s="84"/>
      <c r="C14" s="157"/>
      <c r="D14" s="146" t="s">
        <v>116</v>
      </c>
      <c r="E14" s="10" t="s">
        <v>13</v>
      </c>
      <c r="F14" s="11">
        <v>0.05</v>
      </c>
      <c r="G14" s="11" t="s">
        <v>48</v>
      </c>
      <c r="H14" s="11" t="s">
        <v>48</v>
      </c>
      <c r="I14" s="154">
        <v>4</v>
      </c>
      <c r="J14" s="11" t="s">
        <v>48</v>
      </c>
      <c r="K14" s="36">
        <v>4</v>
      </c>
      <c r="L14" s="11" t="s">
        <v>48</v>
      </c>
      <c r="M14" s="36">
        <v>4</v>
      </c>
      <c r="N14" s="11" t="s">
        <v>48</v>
      </c>
      <c r="O14" s="36">
        <v>4</v>
      </c>
    </row>
    <row r="15" spans="1:15" ht="26.4" x14ac:dyDescent="0.3">
      <c r="A15" s="84"/>
      <c r="B15" s="84"/>
      <c r="C15" s="157"/>
      <c r="D15" s="146" t="s">
        <v>117</v>
      </c>
      <c r="E15" s="10" t="s">
        <v>90</v>
      </c>
      <c r="F15" s="11">
        <v>0.1</v>
      </c>
      <c r="G15" s="11" t="s">
        <v>91</v>
      </c>
      <c r="H15" s="12">
        <v>100</v>
      </c>
      <c r="I15" s="154">
        <v>8</v>
      </c>
      <c r="J15" s="12">
        <v>100</v>
      </c>
      <c r="K15" s="36">
        <v>8</v>
      </c>
      <c r="L15" s="12">
        <v>1</v>
      </c>
      <c r="M15" s="36">
        <v>8</v>
      </c>
      <c r="N15" s="12">
        <v>1</v>
      </c>
      <c r="O15" s="36">
        <v>9</v>
      </c>
    </row>
    <row r="16" spans="1:15" ht="30" customHeight="1" x14ac:dyDescent="0.3">
      <c r="A16" s="85"/>
      <c r="B16" s="85"/>
      <c r="C16" s="158"/>
      <c r="D16" s="146" t="s">
        <v>118</v>
      </c>
      <c r="E16" s="10" t="s">
        <v>13</v>
      </c>
      <c r="F16" s="11">
        <v>0.08</v>
      </c>
      <c r="G16" s="11">
        <v>1</v>
      </c>
      <c r="H16" s="11">
        <v>1</v>
      </c>
      <c r="I16" s="154">
        <v>7</v>
      </c>
      <c r="J16" s="11">
        <v>1</v>
      </c>
      <c r="K16" s="36">
        <v>7</v>
      </c>
      <c r="L16" s="11">
        <v>1</v>
      </c>
      <c r="M16" s="36">
        <v>7</v>
      </c>
      <c r="N16" s="11">
        <v>1</v>
      </c>
      <c r="O16" s="36">
        <v>7.5</v>
      </c>
    </row>
    <row r="17" spans="1:15" ht="28.8" customHeight="1" x14ac:dyDescent="0.3">
      <c r="A17" s="83">
        <v>2</v>
      </c>
      <c r="B17" s="83" t="s">
        <v>128</v>
      </c>
      <c r="C17" s="74"/>
      <c r="D17" s="146" t="s">
        <v>119</v>
      </c>
      <c r="E17" s="10" t="s">
        <v>13</v>
      </c>
      <c r="F17" s="11">
        <v>0.05</v>
      </c>
      <c r="G17" s="11">
        <v>1</v>
      </c>
      <c r="H17" s="11">
        <v>1</v>
      </c>
      <c r="I17" s="154">
        <v>4</v>
      </c>
      <c r="J17" s="11">
        <v>1</v>
      </c>
      <c r="K17" s="36">
        <v>5</v>
      </c>
      <c r="L17" s="11">
        <v>1</v>
      </c>
      <c r="M17" s="36">
        <v>5</v>
      </c>
      <c r="N17" s="11">
        <v>1</v>
      </c>
      <c r="O17" s="36">
        <v>5</v>
      </c>
    </row>
    <row r="18" spans="1:15" x14ac:dyDescent="0.3">
      <c r="A18" s="84"/>
      <c r="B18" s="84"/>
      <c r="C18" s="151"/>
      <c r="D18" s="145" t="s">
        <v>120</v>
      </c>
      <c r="E18" s="10" t="s">
        <v>13</v>
      </c>
      <c r="F18" s="11">
        <v>0.05</v>
      </c>
      <c r="G18" s="11">
        <v>1</v>
      </c>
      <c r="H18" s="11">
        <v>1</v>
      </c>
      <c r="I18" s="154">
        <v>4</v>
      </c>
      <c r="J18" s="11">
        <v>1</v>
      </c>
      <c r="K18" s="36">
        <v>5</v>
      </c>
      <c r="L18" s="11">
        <v>1</v>
      </c>
      <c r="M18" s="36">
        <v>5</v>
      </c>
      <c r="N18" s="11">
        <v>1</v>
      </c>
      <c r="O18" s="36">
        <v>5</v>
      </c>
    </row>
    <row r="19" spans="1:15" x14ac:dyDescent="0.3">
      <c r="A19" s="84"/>
      <c r="B19" s="84"/>
      <c r="C19" s="151"/>
      <c r="D19" s="148" t="s">
        <v>124</v>
      </c>
      <c r="E19" s="10" t="s">
        <v>13</v>
      </c>
      <c r="F19" s="11">
        <v>0.1</v>
      </c>
      <c r="G19" s="11">
        <v>1</v>
      </c>
      <c r="H19" s="11">
        <v>1</v>
      </c>
      <c r="I19" s="154">
        <v>7</v>
      </c>
      <c r="J19" s="11">
        <v>1</v>
      </c>
      <c r="K19" s="36">
        <v>8</v>
      </c>
      <c r="L19" s="11">
        <v>1</v>
      </c>
      <c r="M19" s="36">
        <v>8</v>
      </c>
      <c r="N19" s="11">
        <v>1</v>
      </c>
      <c r="O19" s="36">
        <v>9</v>
      </c>
    </row>
    <row r="20" spans="1:15" ht="28.8" x14ac:dyDescent="0.3">
      <c r="A20" s="84"/>
      <c r="B20" s="84"/>
      <c r="C20" s="151"/>
      <c r="D20" s="149" t="s">
        <v>121</v>
      </c>
      <c r="E20" s="10" t="s">
        <v>13</v>
      </c>
      <c r="F20" s="11">
        <v>0.05</v>
      </c>
      <c r="G20" s="11">
        <v>1</v>
      </c>
      <c r="H20" s="11">
        <v>1</v>
      </c>
      <c r="I20" s="154">
        <v>4</v>
      </c>
      <c r="J20" s="11">
        <v>1</v>
      </c>
      <c r="K20" s="36">
        <v>5</v>
      </c>
      <c r="L20" s="11">
        <v>1</v>
      </c>
      <c r="M20" s="36">
        <v>5</v>
      </c>
      <c r="N20" s="11">
        <v>1</v>
      </c>
      <c r="O20" s="36">
        <v>5</v>
      </c>
    </row>
    <row r="21" spans="1:15" x14ac:dyDescent="0.3">
      <c r="A21" s="84"/>
      <c r="B21" s="84"/>
      <c r="C21" s="152"/>
      <c r="D21" s="147" t="s">
        <v>122</v>
      </c>
      <c r="E21" s="10" t="s">
        <v>13</v>
      </c>
      <c r="F21" s="11">
        <v>0.05</v>
      </c>
      <c r="G21" s="11">
        <v>1</v>
      </c>
      <c r="H21" s="11">
        <v>1</v>
      </c>
      <c r="I21" s="154">
        <v>4</v>
      </c>
      <c r="J21" s="11">
        <v>1</v>
      </c>
      <c r="K21" s="36">
        <v>5</v>
      </c>
      <c r="L21" s="11">
        <v>1</v>
      </c>
      <c r="M21" s="36">
        <v>5</v>
      </c>
      <c r="N21" s="11">
        <v>1</v>
      </c>
      <c r="O21" s="36">
        <v>5</v>
      </c>
    </row>
    <row r="22" spans="1:15" ht="26.4" x14ac:dyDescent="0.25">
      <c r="A22" s="84"/>
      <c r="B22" s="84"/>
      <c r="C22" s="153"/>
      <c r="D22" s="150" t="s">
        <v>123</v>
      </c>
      <c r="E22" s="10" t="s">
        <v>13</v>
      </c>
      <c r="F22" s="11">
        <v>0.05</v>
      </c>
      <c r="G22" s="11">
        <v>1</v>
      </c>
      <c r="H22" s="11">
        <v>1</v>
      </c>
      <c r="I22" s="154">
        <v>4</v>
      </c>
      <c r="J22" s="11">
        <v>1</v>
      </c>
      <c r="K22" s="36">
        <v>5</v>
      </c>
      <c r="L22" s="11">
        <v>1</v>
      </c>
      <c r="M22" s="36">
        <v>5</v>
      </c>
      <c r="N22" s="11">
        <v>1</v>
      </c>
      <c r="O22" s="36">
        <v>5</v>
      </c>
    </row>
    <row r="23" spans="1:15" x14ac:dyDescent="0.3">
      <c r="A23" s="85"/>
      <c r="B23" s="85"/>
      <c r="C23" s="153"/>
      <c r="D23" s="153"/>
      <c r="E23" s="41"/>
      <c r="F23" s="42">
        <f>SUM(F6:F22)</f>
        <v>1</v>
      </c>
      <c r="G23" s="42"/>
      <c r="H23" s="42"/>
      <c r="I23" s="155">
        <f>SUM(I6:I22)</f>
        <v>83</v>
      </c>
      <c r="J23" s="42"/>
      <c r="K23" s="155">
        <f>SUM(K6:K22)</f>
        <v>89</v>
      </c>
      <c r="L23" s="42"/>
      <c r="M23" s="155">
        <f>SUM(M6:M22)</f>
        <v>90</v>
      </c>
      <c r="N23" s="42"/>
      <c r="O23" s="155">
        <f>SUM(O6:O22)</f>
        <v>93.5</v>
      </c>
    </row>
    <row r="25" spans="1:15" x14ac:dyDescent="0.3">
      <c r="D25" s="159" t="s">
        <v>153</v>
      </c>
    </row>
  </sheetData>
  <mergeCells count="21">
    <mergeCell ref="L4:M4"/>
    <mergeCell ref="N4:O4"/>
    <mergeCell ref="C6:C16"/>
    <mergeCell ref="B6:B16"/>
    <mergeCell ref="A6:A16"/>
    <mergeCell ref="A17:A23"/>
    <mergeCell ref="C4:C5"/>
    <mergeCell ref="D4:D5"/>
    <mergeCell ref="E4:E5"/>
    <mergeCell ref="F4:F5"/>
    <mergeCell ref="H4:I4"/>
    <mergeCell ref="J4:K4"/>
    <mergeCell ref="C17:C20"/>
    <mergeCell ref="B17:B23"/>
    <mergeCell ref="G4:G5"/>
    <mergeCell ref="A4:A5"/>
    <mergeCell ref="B4:B5"/>
    <mergeCell ref="A1:A3"/>
    <mergeCell ref="B1:F3"/>
    <mergeCell ref="G1:M3"/>
    <mergeCell ref="N1:O3"/>
  </mergeCells>
  <pageMargins left="0.19685039370078741" right="0.19685039370078741" top="0.19685039370078741" bottom="0.19685039370078741" header="0.19685039370078741" footer="3.937007874015748E-2"/>
  <pageSetup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256F-7D5F-4597-8585-C9E29D78B64D}">
  <sheetPr>
    <pageSetUpPr fitToPage="1"/>
  </sheetPr>
  <dimension ref="A1:O20"/>
  <sheetViews>
    <sheetView topLeftCell="A4" zoomScaleNormal="100" workbookViewId="0">
      <selection activeCell="G23" sqref="G23"/>
    </sheetView>
  </sheetViews>
  <sheetFormatPr defaultRowHeight="14.4" x14ac:dyDescent="0.3"/>
  <cols>
    <col min="1" max="1" width="8.88671875" style="7" customWidth="1"/>
    <col min="2" max="2" width="13.44140625" style="7" customWidth="1"/>
    <col min="3" max="3" width="17.109375" style="7" customWidth="1"/>
    <col min="4" max="4" width="32.44140625" style="7" customWidth="1"/>
    <col min="5" max="5" width="14.109375" style="7" customWidth="1"/>
    <col min="6" max="6" width="8.33203125" style="7" bestFit="1" customWidth="1"/>
    <col min="7" max="7" width="12" style="40" customWidth="1"/>
    <col min="8" max="8" width="15.33203125" style="7" customWidth="1"/>
    <col min="9" max="9" width="8.88671875" style="7"/>
    <col min="10" max="10" width="12.88671875" style="7" customWidth="1"/>
    <col min="11" max="11" width="8.88671875" style="7"/>
    <col min="12" max="12" width="12.88671875" style="7" customWidth="1"/>
    <col min="13" max="13" width="8.88671875" style="7"/>
    <col min="14" max="14" width="12.33203125" style="7" customWidth="1"/>
    <col min="15" max="16384" width="8.88671875" style="7"/>
  </cols>
  <sheetData>
    <row r="1" spans="1:15" ht="29.4" customHeight="1" x14ac:dyDescent="0.3">
      <c r="A1" s="119"/>
      <c r="B1" s="122" t="s">
        <v>129</v>
      </c>
      <c r="C1" s="123"/>
      <c r="D1" s="123"/>
      <c r="E1" s="123"/>
      <c r="F1" s="124"/>
      <c r="G1" s="122" t="s">
        <v>104</v>
      </c>
      <c r="H1" s="131"/>
      <c r="I1" s="131"/>
      <c r="J1" s="131"/>
      <c r="K1" s="131"/>
      <c r="L1" s="131"/>
      <c r="M1" s="132"/>
      <c r="N1" s="139" t="s">
        <v>0</v>
      </c>
      <c r="O1" s="140"/>
    </row>
    <row r="2" spans="1:15" ht="33.9" customHeight="1" x14ac:dyDescent="0.3">
      <c r="A2" s="120"/>
      <c r="B2" s="125"/>
      <c r="C2" s="126"/>
      <c r="D2" s="126"/>
      <c r="E2" s="126"/>
      <c r="F2" s="127"/>
      <c r="G2" s="133"/>
      <c r="H2" s="134"/>
      <c r="I2" s="134"/>
      <c r="J2" s="134"/>
      <c r="K2" s="134"/>
      <c r="L2" s="134"/>
      <c r="M2" s="135"/>
      <c r="N2" s="141"/>
      <c r="O2" s="142"/>
    </row>
    <row r="3" spans="1:15" ht="25.5" customHeight="1" thickBot="1" x14ac:dyDescent="0.35">
      <c r="A3" s="121"/>
      <c r="B3" s="128"/>
      <c r="C3" s="129"/>
      <c r="D3" s="129"/>
      <c r="E3" s="129"/>
      <c r="F3" s="130"/>
      <c r="G3" s="136"/>
      <c r="H3" s="137"/>
      <c r="I3" s="137"/>
      <c r="J3" s="137"/>
      <c r="K3" s="137"/>
      <c r="L3" s="137"/>
      <c r="M3" s="138"/>
      <c r="N3" s="143"/>
      <c r="O3" s="144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ht="36.75" customHeight="1" x14ac:dyDescent="0.3">
      <c r="A6" s="73">
        <v>1</v>
      </c>
      <c r="B6" s="73" t="s">
        <v>58</v>
      </c>
      <c r="C6" s="74" t="s">
        <v>57</v>
      </c>
      <c r="D6" s="9" t="s">
        <v>55</v>
      </c>
      <c r="E6" s="10" t="s">
        <v>41</v>
      </c>
      <c r="F6" s="11">
        <v>0.15</v>
      </c>
      <c r="G6" s="11" t="s">
        <v>67</v>
      </c>
      <c r="H6" s="11" t="s">
        <v>67</v>
      </c>
      <c r="I6" s="10">
        <v>13</v>
      </c>
      <c r="J6" s="11" t="s">
        <v>67</v>
      </c>
      <c r="K6" s="10">
        <v>14</v>
      </c>
      <c r="L6" s="11" t="s">
        <v>67</v>
      </c>
      <c r="M6" s="10">
        <v>14.5</v>
      </c>
      <c r="N6" s="11" t="s">
        <v>67</v>
      </c>
      <c r="O6" s="10">
        <v>14.5</v>
      </c>
    </row>
    <row r="7" spans="1:15" ht="36.75" customHeight="1" x14ac:dyDescent="0.3">
      <c r="A7" s="73"/>
      <c r="B7" s="73"/>
      <c r="C7" s="74"/>
      <c r="D7" s="9" t="s">
        <v>59</v>
      </c>
      <c r="E7" s="10" t="s">
        <v>11</v>
      </c>
      <c r="F7" s="11">
        <v>0.15</v>
      </c>
      <c r="G7" s="10" t="s">
        <v>68</v>
      </c>
      <c r="H7" s="10" t="s">
        <v>68</v>
      </c>
      <c r="I7" s="10">
        <v>13</v>
      </c>
      <c r="J7" s="10" t="s">
        <v>68</v>
      </c>
      <c r="K7" s="10">
        <v>14</v>
      </c>
      <c r="L7" s="10" t="s">
        <v>68</v>
      </c>
      <c r="M7" s="10">
        <v>14.5</v>
      </c>
      <c r="N7" s="10" t="s">
        <v>68</v>
      </c>
      <c r="O7" s="10">
        <v>14.5</v>
      </c>
    </row>
    <row r="8" spans="1:15" x14ac:dyDescent="0.3">
      <c r="A8" s="73">
        <v>3</v>
      </c>
      <c r="B8" s="73" t="s">
        <v>77</v>
      </c>
      <c r="C8" s="74" t="s">
        <v>12</v>
      </c>
      <c r="D8" s="9" t="s">
        <v>134</v>
      </c>
      <c r="E8" s="10" t="s">
        <v>13</v>
      </c>
      <c r="F8" s="11">
        <v>0.1</v>
      </c>
      <c r="G8" s="11">
        <v>1</v>
      </c>
      <c r="H8" s="11">
        <v>1</v>
      </c>
      <c r="I8" s="10">
        <v>9</v>
      </c>
      <c r="J8" s="11">
        <v>1</v>
      </c>
      <c r="K8" s="10">
        <v>9</v>
      </c>
      <c r="L8" s="11">
        <v>1</v>
      </c>
      <c r="M8" s="10">
        <v>9</v>
      </c>
      <c r="N8" s="11">
        <v>1</v>
      </c>
      <c r="O8" s="10">
        <v>9</v>
      </c>
    </row>
    <row r="9" spans="1:15" ht="43.5" customHeight="1" x14ac:dyDescent="0.3">
      <c r="A9" s="73"/>
      <c r="B9" s="73"/>
      <c r="C9" s="74"/>
      <c r="D9" s="9" t="s">
        <v>130</v>
      </c>
      <c r="E9" s="10" t="s">
        <v>44</v>
      </c>
      <c r="F9" s="11">
        <v>7.0000000000000007E-2</v>
      </c>
      <c r="G9" s="11">
        <v>1</v>
      </c>
      <c r="H9" s="11">
        <v>1</v>
      </c>
      <c r="I9" s="36">
        <v>7</v>
      </c>
      <c r="J9" s="11">
        <v>1</v>
      </c>
      <c r="K9" s="10">
        <v>7</v>
      </c>
      <c r="L9" s="11">
        <v>1</v>
      </c>
      <c r="M9" s="10">
        <v>7</v>
      </c>
      <c r="N9" s="11">
        <v>1</v>
      </c>
      <c r="O9" s="10">
        <v>7</v>
      </c>
    </row>
    <row r="10" spans="1:15" x14ac:dyDescent="0.3">
      <c r="A10" s="73"/>
      <c r="B10" s="73"/>
      <c r="C10" s="74"/>
      <c r="D10" s="9" t="s">
        <v>131</v>
      </c>
      <c r="E10" s="10" t="s">
        <v>13</v>
      </c>
      <c r="F10" s="11">
        <v>7.0000000000000007E-2</v>
      </c>
      <c r="G10" s="11">
        <v>1</v>
      </c>
      <c r="H10" s="11">
        <v>1</v>
      </c>
      <c r="I10" s="36">
        <v>6</v>
      </c>
      <c r="J10" s="11">
        <v>1</v>
      </c>
      <c r="K10" s="10">
        <v>6</v>
      </c>
      <c r="L10" s="11">
        <v>1</v>
      </c>
      <c r="M10" s="10">
        <v>6</v>
      </c>
      <c r="N10" s="11">
        <v>1</v>
      </c>
      <c r="O10" s="10">
        <v>6</v>
      </c>
    </row>
    <row r="11" spans="1:15" ht="15.75" customHeight="1" x14ac:dyDescent="0.3">
      <c r="A11" s="73"/>
      <c r="B11" s="73"/>
      <c r="C11" s="74"/>
      <c r="D11" s="9" t="s">
        <v>47</v>
      </c>
      <c r="E11" s="10" t="s">
        <v>13</v>
      </c>
      <c r="F11" s="11">
        <v>7.0000000000000007E-2</v>
      </c>
      <c r="G11" s="11" t="s">
        <v>48</v>
      </c>
      <c r="H11" s="11" t="s">
        <v>48</v>
      </c>
      <c r="I11" s="36">
        <v>6</v>
      </c>
      <c r="J11" s="11" t="s">
        <v>48</v>
      </c>
      <c r="K11" s="36">
        <v>6</v>
      </c>
      <c r="L11" s="11" t="s">
        <v>48</v>
      </c>
      <c r="M11" s="36">
        <v>6</v>
      </c>
      <c r="N11" s="11" t="s">
        <v>48</v>
      </c>
      <c r="O11" s="36">
        <v>6.5</v>
      </c>
    </row>
    <row r="12" spans="1:15" ht="15" customHeight="1" x14ac:dyDescent="0.3">
      <c r="A12" s="73"/>
      <c r="B12" s="73"/>
      <c r="C12" s="74"/>
      <c r="D12" s="9" t="s">
        <v>49</v>
      </c>
      <c r="E12" s="10" t="s">
        <v>13</v>
      </c>
      <c r="F12" s="11">
        <v>0.03</v>
      </c>
      <c r="G12" s="11" t="s">
        <v>48</v>
      </c>
      <c r="H12" s="11" t="s">
        <v>48</v>
      </c>
      <c r="I12" s="36">
        <v>3</v>
      </c>
      <c r="J12" s="11" t="s">
        <v>48</v>
      </c>
      <c r="K12" s="36">
        <v>3</v>
      </c>
      <c r="L12" s="11" t="s">
        <v>48</v>
      </c>
      <c r="M12" s="36">
        <v>3</v>
      </c>
      <c r="N12" s="11" t="s">
        <v>48</v>
      </c>
      <c r="O12" s="36">
        <v>3</v>
      </c>
    </row>
    <row r="13" spans="1:15" ht="30" customHeight="1" x14ac:dyDescent="0.3">
      <c r="A13" s="73"/>
      <c r="B13" s="73"/>
      <c r="C13" s="13" t="s">
        <v>14</v>
      </c>
      <c r="D13" s="9" t="s">
        <v>51</v>
      </c>
      <c r="E13" s="10" t="s">
        <v>13</v>
      </c>
      <c r="F13" s="11">
        <v>7.0000000000000007E-2</v>
      </c>
      <c r="G13" s="11">
        <v>1</v>
      </c>
      <c r="H13" s="11">
        <v>1</v>
      </c>
      <c r="I13" s="36">
        <v>7</v>
      </c>
      <c r="J13" s="11">
        <v>1</v>
      </c>
      <c r="K13" s="36">
        <v>6</v>
      </c>
      <c r="L13" s="11">
        <v>1</v>
      </c>
      <c r="M13" s="36">
        <v>7</v>
      </c>
      <c r="N13" s="11">
        <v>1</v>
      </c>
      <c r="O13" s="36">
        <v>7</v>
      </c>
    </row>
    <row r="14" spans="1:15" x14ac:dyDescent="0.3">
      <c r="A14" s="73"/>
      <c r="B14" s="73"/>
      <c r="C14" s="74" t="s">
        <v>15</v>
      </c>
      <c r="D14" s="9" t="s">
        <v>132</v>
      </c>
      <c r="E14" s="10" t="s">
        <v>13</v>
      </c>
      <c r="F14" s="11">
        <v>7.0000000000000007E-2</v>
      </c>
      <c r="G14" s="11">
        <v>1</v>
      </c>
      <c r="H14" s="11">
        <v>1</v>
      </c>
      <c r="I14" s="36">
        <v>6</v>
      </c>
      <c r="J14" s="11">
        <v>1</v>
      </c>
      <c r="K14" s="36">
        <v>6</v>
      </c>
      <c r="L14" s="11">
        <v>1</v>
      </c>
      <c r="M14" s="36">
        <v>7</v>
      </c>
      <c r="N14" s="11">
        <v>1</v>
      </c>
      <c r="O14" s="36">
        <v>7</v>
      </c>
    </row>
    <row r="15" spans="1:15" x14ac:dyDescent="0.3">
      <c r="A15" s="73"/>
      <c r="B15" s="73"/>
      <c r="C15" s="74"/>
      <c r="D15" s="9" t="s">
        <v>133</v>
      </c>
      <c r="E15" s="10" t="s">
        <v>13</v>
      </c>
      <c r="F15" s="11">
        <v>7.0000000000000007E-2</v>
      </c>
      <c r="G15" s="11">
        <v>1</v>
      </c>
      <c r="H15" s="11">
        <v>1</v>
      </c>
      <c r="I15" s="36">
        <v>7</v>
      </c>
      <c r="J15" s="11">
        <v>1</v>
      </c>
      <c r="K15" s="36">
        <v>7</v>
      </c>
      <c r="L15" s="11">
        <v>1</v>
      </c>
      <c r="M15" s="36">
        <v>7</v>
      </c>
      <c r="N15" s="11">
        <v>1</v>
      </c>
      <c r="O15" s="36">
        <v>7</v>
      </c>
    </row>
    <row r="16" spans="1:15" x14ac:dyDescent="0.3">
      <c r="A16" s="73"/>
      <c r="B16" s="73"/>
      <c r="C16" s="74"/>
      <c r="D16" s="9" t="s">
        <v>54</v>
      </c>
      <c r="E16" s="10" t="s">
        <v>13</v>
      </c>
      <c r="F16" s="11">
        <v>7.0000000000000007E-2</v>
      </c>
      <c r="G16" s="11">
        <v>1</v>
      </c>
      <c r="H16" s="11">
        <v>1</v>
      </c>
      <c r="I16" s="36">
        <v>7</v>
      </c>
      <c r="J16" s="11">
        <v>1</v>
      </c>
      <c r="K16" s="36">
        <v>7</v>
      </c>
      <c r="L16" s="11">
        <v>1</v>
      </c>
      <c r="M16" s="36">
        <v>7</v>
      </c>
      <c r="N16" s="11">
        <v>1</v>
      </c>
      <c r="O16" s="36">
        <v>7</v>
      </c>
    </row>
    <row r="17" spans="1:15" x14ac:dyDescent="0.3">
      <c r="A17" s="73"/>
      <c r="B17" s="73"/>
      <c r="C17" s="74"/>
      <c r="D17" s="9" t="s">
        <v>16</v>
      </c>
      <c r="E17" s="10" t="s">
        <v>13</v>
      </c>
      <c r="F17" s="11">
        <v>0.08</v>
      </c>
      <c r="G17" s="11">
        <v>1</v>
      </c>
      <c r="H17" s="11">
        <v>1</v>
      </c>
      <c r="I17" s="36">
        <v>7</v>
      </c>
      <c r="J17" s="11">
        <v>1</v>
      </c>
      <c r="K17" s="36">
        <v>6</v>
      </c>
      <c r="L17" s="11">
        <v>1</v>
      </c>
      <c r="M17" s="36">
        <v>7</v>
      </c>
      <c r="N17" s="11">
        <v>1</v>
      </c>
      <c r="O17" s="36">
        <v>7</v>
      </c>
    </row>
    <row r="18" spans="1:15" x14ac:dyDescent="0.3">
      <c r="A18" s="41"/>
      <c r="B18" s="41"/>
      <c r="C18" s="41"/>
      <c r="D18" s="41"/>
      <c r="E18" s="41"/>
      <c r="F18" s="37">
        <f>SUM(F6:F17)</f>
        <v>1.0000000000000004</v>
      </c>
      <c r="G18" s="41"/>
      <c r="H18" s="41"/>
      <c r="I18" s="39">
        <f>SUM(I6:I17)</f>
        <v>91</v>
      </c>
      <c r="J18" s="41"/>
      <c r="K18" s="39">
        <f>SUM(K6:K17)</f>
        <v>91</v>
      </c>
      <c r="L18" s="41"/>
      <c r="M18" s="39">
        <f>SUM(M6:M17)</f>
        <v>95</v>
      </c>
      <c r="N18" s="41"/>
      <c r="O18" s="39">
        <f>SUM(O6:O17)</f>
        <v>95.5</v>
      </c>
    </row>
    <row r="20" spans="1:15" x14ac:dyDescent="0.3">
      <c r="D20" s="159" t="s">
        <v>141</v>
      </c>
      <c r="F20" s="159" t="s">
        <v>151</v>
      </c>
    </row>
  </sheetData>
  <mergeCells count="22">
    <mergeCell ref="A8:A17"/>
    <mergeCell ref="B8:B17"/>
    <mergeCell ref="C8:C12"/>
    <mergeCell ref="C14:C17"/>
    <mergeCell ref="G4:G5"/>
    <mergeCell ref="H4:I4"/>
    <mergeCell ref="J4:K4"/>
    <mergeCell ref="L4:M4"/>
    <mergeCell ref="N4:O4"/>
    <mergeCell ref="A6:A7"/>
    <mergeCell ref="B6:B7"/>
    <mergeCell ref="C6:C7"/>
    <mergeCell ref="A1:A3"/>
    <mergeCell ref="B1:F3"/>
    <mergeCell ref="G1:M3"/>
    <mergeCell ref="N1:O3"/>
    <mergeCell ref="A4:A5"/>
    <mergeCell ref="B4:B5"/>
    <mergeCell ref="C4:C5"/>
    <mergeCell ref="D4:D5"/>
    <mergeCell ref="E4:E5"/>
    <mergeCell ref="F4:F5"/>
  </mergeCells>
  <pageMargins left="0.19685039370078741" right="0.19685039370078741" top="0.19685039370078741" bottom="0.19685039370078741" header="0.19685039370078741" footer="3.937007874015748E-2"/>
  <pageSetup scale="6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74DE-D3D5-4D00-B528-A9AF36DB80E9}">
  <sheetPr>
    <pageSetUpPr fitToPage="1"/>
  </sheetPr>
  <dimension ref="A1:O20"/>
  <sheetViews>
    <sheetView topLeftCell="B7" zoomScaleNormal="100" workbookViewId="0">
      <selection activeCell="G20" sqref="G20"/>
    </sheetView>
  </sheetViews>
  <sheetFormatPr defaultRowHeight="14.4" x14ac:dyDescent="0.3"/>
  <cols>
    <col min="1" max="1" width="8.88671875" style="7" customWidth="1"/>
    <col min="2" max="2" width="13.44140625" style="7" customWidth="1"/>
    <col min="3" max="3" width="17.109375" style="7" customWidth="1"/>
    <col min="4" max="4" width="32.44140625" style="7" customWidth="1"/>
    <col min="5" max="5" width="14.109375" style="7" customWidth="1"/>
    <col min="6" max="6" width="8.33203125" style="7" bestFit="1" customWidth="1"/>
    <col min="7" max="7" width="12" style="40" customWidth="1"/>
    <col min="8" max="8" width="15.33203125" style="7" customWidth="1"/>
    <col min="9" max="9" width="8.88671875" style="7"/>
    <col min="10" max="10" width="12.88671875" style="7" customWidth="1"/>
    <col min="11" max="11" width="8.88671875" style="7"/>
    <col min="12" max="12" width="12.88671875" style="7" customWidth="1"/>
    <col min="13" max="13" width="8.88671875" style="7"/>
    <col min="14" max="14" width="12.33203125" style="7" customWidth="1"/>
    <col min="15" max="16384" width="8.88671875" style="7"/>
  </cols>
  <sheetData>
    <row r="1" spans="1:15" ht="29.4" customHeight="1" x14ac:dyDescent="0.3">
      <c r="A1" s="119"/>
      <c r="B1" s="122" t="s">
        <v>139</v>
      </c>
      <c r="C1" s="123"/>
      <c r="D1" s="123"/>
      <c r="E1" s="123"/>
      <c r="F1" s="124"/>
      <c r="G1" s="122" t="s">
        <v>138</v>
      </c>
      <c r="H1" s="131"/>
      <c r="I1" s="131"/>
      <c r="J1" s="131"/>
      <c r="K1" s="131"/>
      <c r="L1" s="131"/>
      <c r="M1" s="132"/>
      <c r="N1" s="139" t="s">
        <v>0</v>
      </c>
      <c r="O1" s="140"/>
    </row>
    <row r="2" spans="1:15" ht="33.9" customHeight="1" x14ac:dyDescent="0.3">
      <c r="A2" s="120"/>
      <c r="B2" s="125"/>
      <c r="C2" s="126"/>
      <c r="D2" s="126"/>
      <c r="E2" s="126"/>
      <c r="F2" s="127"/>
      <c r="G2" s="133"/>
      <c r="H2" s="134"/>
      <c r="I2" s="134"/>
      <c r="J2" s="134"/>
      <c r="K2" s="134"/>
      <c r="L2" s="134"/>
      <c r="M2" s="135"/>
      <c r="N2" s="141"/>
      <c r="O2" s="142"/>
    </row>
    <row r="3" spans="1:15" ht="25.5" customHeight="1" thickBot="1" x14ac:dyDescent="0.35">
      <c r="A3" s="121"/>
      <c r="B3" s="128"/>
      <c r="C3" s="129"/>
      <c r="D3" s="129"/>
      <c r="E3" s="129"/>
      <c r="F3" s="130"/>
      <c r="G3" s="136"/>
      <c r="H3" s="137"/>
      <c r="I3" s="137"/>
      <c r="J3" s="137"/>
      <c r="K3" s="137"/>
      <c r="L3" s="137"/>
      <c r="M3" s="138"/>
      <c r="N3" s="143"/>
      <c r="O3" s="144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ht="36.75" customHeight="1" x14ac:dyDescent="0.3">
      <c r="A6" s="73">
        <v>1</v>
      </c>
      <c r="B6" s="73" t="s">
        <v>58</v>
      </c>
      <c r="C6" s="74" t="s">
        <v>57</v>
      </c>
      <c r="D6" s="9" t="s">
        <v>55</v>
      </c>
      <c r="E6" s="10" t="s">
        <v>41</v>
      </c>
      <c r="F6" s="11">
        <v>0.1</v>
      </c>
      <c r="G6" s="11" t="s">
        <v>67</v>
      </c>
      <c r="H6" s="11" t="s">
        <v>67</v>
      </c>
      <c r="I6" s="10">
        <v>8</v>
      </c>
      <c r="J6" s="11" t="s">
        <v>67</v>
      </c>
      <c r="K6" s="10">
        <v>9</v>
      </c>
      <c r="L6" s="11" t="s">
        <v>67</v>
      </c>
      <c r="M6" s="10">
        <v>8</v>
      </c>
      <c r="N6" s="11" t="s">
        <v>67</v>
      </c>
      <c r="O6" s="10">
        <v>9</v>
      </c>
    </row>
    <row r="7" spans="1:15" ht="36.75" customHeight="1" x14ac:dyDescent="0.3">
      <c r="A7" s="73"/>
      <c r="B7" s="73"/>
      <c r="C7" s="74"/>
      <c r="D7" s="9" t="s">
        <v>59</v>
      </c>
      <c r="E7" s="10" t="s">
        <v>11</v>
      </c>
      <c r="F7" s="11">
        <v>0.1</v>
      </c>
      <c r="G7" s="10" t="s">
        <v>68</v>
      </c>
      <c r="H7" s="10" t="s">
        <v>68</v>
      </c>
      <c r="I7" s="10">
        <v>8</v>
      </c>
      <c r="J7" s="10" t="s">
        <v>68</v>
      </c>
      <c r="K7" s="10">
        <v>9</v>
      </c>
      <c r="L7" s="10" t="s">
        <v>68</v>
      </c>
      <c r="M7" s="10">
        <v>8</v>
      </c>
      <c r="N7" s="10" t="s">
        <v>68</v>
      </c>
      <c r="O7" s="10">
        <v>9</v>
      </c>
    </row>
    <row r="8" spans="1:15" ht="14.4" customHeight="1" x14ac:dyDescent="0.3">
      <c r="A8" s="73">
        <v>2</v>
      </c>
      <c r="B8" s="83" t="s">
        <v>77</v>
      </c>
      <c r="C8" s="74" t="s">
        <v>12</v>
      </c>
      <c r="D8" s="9" t="s">
        <v>134</v>
      </c>
      <c r="E8" s="10" t="s">
        <v>13</v>
      </c>
      <c r="F8" s="11">
        <v>0.1</v>
      </c>
      <c r="G8" s="11">
        <v>1</v>
      </c>
      <c r="H8" s="11">
        <v>1</v>
      </c>
      <c r="I8" s="10">
        <v>9</v>
      </c>
      <c r="J8" s="11">
        <v>1</v>
      </c>
      <c r="K8" s="10">
        <v>9</v>
      </c>
      <c r="L8" s="11">
        <v>1</v>
      </c>
      <c r="M8" s="10">
        <v>9</v>
      </c>
      <c r="N8" s="11">
        <v>1</v>
      </c>
      <c r="O8" s="10">
        <v>9</v>
      </c>
    </row>
    <row r="9" spans="1:15" ht="43.5" customHeight="1" x14ac:dyDescent="0.3">
      <c r="A9" s="73"/>
      <c r="B9" s="84"/>
      <c r="C9" s="74"/>
      <c r="D9" s="9" t="s">
        <v>130</v>
      </c>
      <c r="E9" s="10" t="s">
        <v>44</v>
      </c>
      <c r="F9" s="11">
        <v>7.0000000000000007E-2</v>
      </c>
      <c r="G9" s="11">
        <v>1</v>
      </c>
      <c r="H9" s="11">
        <v>1</v>
      </c>
      <c r="I9" s="36">
        <v>6</v>
      </c>
      <c r="J9" s="11">
        <v>1</v>
      </c>
      <c r="K9" s="10">
        <v>6</v>
      </c>
      <c r="L9" s="11">
        <v>1</v>
      </c>
      <c r="M9" s="10">
        <v>7</v>
      </c>
      <c r="N9" s="11">
        <v>1</v>
      </c>
      <c r="O9" s="10">
        <v>6</v>
      </c>
    </row>
    <row r="10" spans="1:15" ht="15.75" customHeight="1" x14ac:dyDescent="0.3">
      <c r="A10" s="73"/>
      <c r="B10" s="84"/>
      <c r="C10" s="74"/>
      <c r="D10" s="9" t="s">
        <v>47</v>
      </c>
      <c r="E10" s="10" t="s">
        <v>13</v>
      </c>
      <c r="F10" s="11">
        <v>7.0000000000000007E-2</v>
      </c>
      <c r="G10" s="11" t="s">
        <v>48</v>
      </c>
      <c r="H10" s="11" t="s">
        <v>48</v>
      </c>
      <c r="I10" s="36">
        <v>6</v>
      </c>
      <c r="J10" s="11" t="s">
        <v>48</v>
      </c>
      <c r="K10" s="36">
        <v>6</v>
      </c>
      <c r="L10" s="11" t="s">
        <v>48</v>
      </c>
      <c r="M10" s="36">
        <v>7</v>
      </c>
      <c r="N10" s="11" t="s">
        <v>48</v>
      </c>
      <c r="O10" s="36">
        <v>6.5</v>
      </c>
    </row>
    <row r="11" spans="1:15" x14ac:dyDescent="0.3">
      <c r="A11" s="73"/>
      <c r="B11" s="84"/>
      <c r="C11" s="156" t="s">
        <v>135</v>
      </c>
      <c r="D11" s="9" t="s">
        <v>136</v>
      </c>
      <c r="E11" s="10" t="s">
        <v>13</v>
      </c>
      <c r="F11" s="11">
        <v>0.1</v>
      </c>
      <c r="G11" s="11">
        <v>1</v>
      </c>
      <c r="H11" s="11">
        <v>1</v>
      </c>
      <c r="I11" s="36">
        <v>10</v>
      </c>
      <c r="J11" s="11">
        <v>1</v>
      </c>
      <c r="K11" s="36">
        <v>10</v>
      </c>
      <c r="L11" s="11">
        <v>1</v>
      </c>
      <c r="M11" s="36">
        <v>10</v>
      </c>
      <c r="N11" s="11">
        <v>1</v>
      </c>
      <c r="O11" s="36">
        <v>10</v>
      </c>
    </row>
    <row r="12" spans="1:15" ht="15" customHeight="1" x14ac:dyDescent="0.3">
      <c r="A12" s="73"/>
      <c r="B12" s="84"/>
      <c r="C12" s="157"/>
      <c r="D12" s="9" t="s">
        <v>137</v>
      </c>
      <c r="E12" s="10" t="s">
        <v>13</v>
      </c>
      <c r="F12" s="11">
        <v>0.1</v>
      </c>
      <c r="G12" s="11" t="s">
        <v>48</v>
      </c>
      <c r="H12" s="11" t="s">
        <v>48</v>
      </c>
      <c r="I12" s="36">
        <v>10</v>
      </c>
      <c r="J12" s="11" t="s">
        <v>48</v>
      </c>
      <c r="K12" s="36">
        <v>10</v>
      </c>
      <c r="L12" s="11" t="s">
        <v>48</v>
      </c>
      <c r="M12" s="36">
        <v>10</v>
      </c>
      <c r="N12" s="11" t="s">
        <v>48</v>
      </c>
      <c r="O12" s="36">
        <v>10</v>
      </c>
    </row>
    <row r="13" spans="1:15" ht="15" customHeight="1" x14ac:dyDescent="0.3">
      <c r="A13" s="73"/>
      <c r="B13" s="84"/>
      <c r="C13" s="158"/>
      <c r="D13" s="9" t="s">
        <v>140</v>
      </c>
      <c r="E13" s="10" t="s">
        <v>13</v>
      </c>
      <c r="F13" s="11">
        <v>0.1</v>
      </c>
      <c r="G13" s="11" t="s">
        <v>48</v>
      </c>
      <c r="H13" s="11" t="s">
        <v>48</v>
      </c>
      <c r="I13" s="36">
        <v>10</v>
      </c>
      <c r="J13" s="11" t="s">
        <v>48</v>
      </c>
      <c r="K13" s="36">
        <v>10</v>
      </c>
      <c r="L13" s="11" t="s">
        <v>48</v>
      </c>
      <c r="M13" s="36">
        <v>10</v>
      </c>
      <c r="N13" s="11" t="s">
        <v>48</v>
      </c>
      <c r="O13" s="36">
        <v>10</v>
      </c>
    </row>
    <row r="14" spans="1:15" x14ac:dyDescent="0.3">
      <c r="A14" s="73"/>
      <c r="B14" s="84"/>
      <c r="C14" s="74" t="s">
        <v>15</v>
      </c>
      <c r="D14" s="9" t="s">
        <v>132</v>
      </c>
      <c r="E14" s="10" t="s">
        <v>13</v>
      </c>
      <c r="F14" s="11">
        <v>0.05</v>
      </c>
      <c r="G14" s="11">
        <v>1</v>
      </c>
      <c r="H14" s="11">
        <v>1</v>
      </c>
      <c r="I14" s="36">
        <v>6</v>
      </c>
      <c r="J14" s="11">
        <v>1</v>
      </c>
      <c r="K14" s="36">
        <v>6</v>
      </c>
      <c r="L14" s="11">
        <v>1</v>
      </c>
      <c r="M14" s="36">
        <v>4</v>
      </c>
      <c r="N14" s="11">
        <v>1</v>
      </c>
      <c r="O14" s="36">
        <v>4</v>
      </c>
    </row>
    <row r="15" spans="1:15" x14ac:dyDescent="0.3">
      <c r="A15" s="73"/>
      <c r="B15" s="84"/>
      <c r="C15" s="74"/>
      <c r="D15" s="9" t="s">
        <v>133</v>
      </c>
      <c r="E15" s="10" t="s">
        <v>13</v>
      </c>
      <c r="F15" s="11">
        <v>0.06</v>
      </c>
      <c r="G15" s="11">
        <v>1</v>
      </c>
      <c r="H15" s="11">
        <v>1</v>
      </c>
      <c r="I15" s="36">
        <v>5</v>
      </c>
      <c r="J15" s="11">
        <v>1</v>
      </c>
      <c r="K15" s="36">
        <v>6</v>
      </c>
      <c r="L15" s="11">
        <v>1</v>
      </c>
      <c r="M15" s="36">
        <v>6</v>
      </c>
      <c r="N15" s="11">
        <v>1</v>
      </c>
      <c r="O15" s="36">
        <v>6</v>
      </c>
    </row>
    <row r="16" spans="1:15" x14ac:dyDescent="0.3">
      <c r="A16" s="73"/>
      <c r="B16" s="84"/>
      <c r="C16" s="74"/>
      <c r="D16" s="9" t="s">
        <v>54</v>
      </c>
      <c r="E16" s="10" t="s">
        <v>13</v>
      </c>
      <c r="F16" s="11">
        <v>7.0000000000000007E-2</v>
      </c>
      <c r="G16" s="11">
        <v>1</v>
      </c>
      <c r="H16" s="11">
        <v>1</v>
      </c>
      <c r="I16" s="36">
        <v>5</v>
      </c>
      <c r="J16" s="11">
        <v>1</v>
      </c>
      <c r="K16" s="36">
        <v>6</v>
      </c>
      <c r="L16" s="11">
        <v>1</v>
      </c>
      <c r="M16" s="36">
        <v>7</v>
      </c>
      <c r="N16" s="11">
        <v>1</v>
      </c>
      <c r="O16" s="36">
        <v>7</v>
      </c>
    </row>
    <row r="17" spans="1:15" x14ac:dyDescent="0.3">
      <c r="A17" s="73"/>
      <c r="B17" s="85"/>
      <c r="C17" s="74"/>
      <c r="D17" s="9" t="s">
        <v>16</v>
      </c>
      <c r="E17" s="10" t="s">
        <v>13</v>
      </c>
      <c r="F17" s="11">
        <v>0.08</v>
      </c>
      <c r="G17" s="11">
        <v>1</v>
      </c>
      <c r="H17" s="11">
        <v>1</v>
      </c>
      <c r="I17" s="36">
        <v>5</v>
      </c>
      <c r="J17" s="11">
        <v>1</v>
      </c>
      <c r="K17" s="36">
        <v>6</v>
      </c>
      <c r="L17" s="11">
        <v>1</v>
      </c>
      <c r="M17" s="36">
        <v>6</v>
      </c>
      <c r="N17" s="11">
        <v>1</v>
      </c>
      <c r="O17" s="36">
        <v>6</v>
      </c>
    </row>
    <row r="18" spans="1:15" x14ac:dyDescent="0.3">
      <c r="A18" s="41"/>
      <c r="B18" s="41"/>
      <c r="C18" s="41"/>
      <c r="D18" s="41"/>
      <c r="E18" s="41"/>
      <c r="F18" s="37">
        <f>SUM(F6:F17)</f>
        <v>1.0000000000000002</v>
      </c>
      <c r="G18" s="41"/>
      <c r="H18" s="41"/>
      <c r="I18" s="39">
        <f>SUM(I6:I17)</f>
        <v>88</v>
      </c>
      <c r="J18" s="41"/>
      <c r="K18" s="39">
        <f>SUM(K6:K17)</f>
        <v>93</v>
      </c>
      <c r="L18" s="41"/>
      <c r="M18" s="39">
        <f>SUM(M6:M17)</f>
        <v>92</v>
      </c>
      <c r="N18" s="41"/>
      <c r="O18" s="39">
        <f>SUM(O6:O17)</f>
        <v>92.5</v>
      </c>
    </row>
    <row r="20" spans="1:15" x14ac:dyDescent="0.3">
      <c r="D20" s="159" t="s">
        <v>141</v>
      </c>
      <c r="G20" s="177" t="s">
        <v>151</v>
      </c>
    </row>
  </sheetData>
  <mergeCells count="23">
    <mergeCell ref="A8:A17"/>
    <mergeCell ref="B8:B17"/>
    <mergeCell ref="C8:C10"/>
    <mergeCell ref="C14:C17"/>
    <mergeCell ref="C11:C13"/>
    <mergeCell ref="G4:G5"/>
    <mergeCell ref="H4:I4"/>
    <mergeCell ref="J4:K4"/>
    <mergeCell ref="L4:M4"/>
    <mergeCell ref="N4:O4"/>
    <mergeCell ref="A6:A7"/>
    <mergeCell ref="B6:B7"/>
    <mergeCell ref="C6:C7"/>
    <mergeCell ref="A1:A3"/>
    <mergeCell ref="B1:F3"/>
    <mergeCell ref="G1:M3"/>
    <mergeCell ref="N1:O3"/>
    <mergeCell ref="A4:A5"/>
    <mergeCell ref="B4:B5"/>
    <mergeCell ref="C4:C5"/>
    <mergeCell ref="D4:D5"/>
    <mergeCell ref="E4:E5"/>
    <mergeCell ref="F4:F5"/>
  </mergeCells>
  <pageMargins left="0.19685039370078741" right="0.19685039370078741" top="0.19685039370078741" bottom="0.19685039370078741" header="0.19685039370078741" footer="3.937007874015748E-2"/>
  <pageSetup scale="6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3362-D795-4175-8120-69D9FCDBDD37}">
  <sheetPr>
    <pageSetUpPr fitToPage="1"/>
  </sheetPr>
  <dimension ref="A1:O20"/>
  <sheetViews>
    <sheetView tabSelected="1" zoomScaleNormal="100" workbookViewId="0">
      <selection activeCell="G1" sqref="G1:M3"/>
    </sheetView>
  </sheetViews>
  <sheetFormatPr defaultRowHeight="14.4" x14ac:dyDescent="0.3"/>
  <cols>
    <col min="1" max="1" width="8.88671875" style="7" customWidth="1"/>
    <col min="2" max="2" width="13.44140625" style="7" customWidth="1"/>
    <col min="3" max="3" width="17.109375" style="7" customWidth="1"/>
    <col min="4" max="4" width="32.44140625" style="7" customWidth="1"/>
    <col min="5" max="5" width="14.109375" style="7" customWidth="1"/>
    <col min="6" max="6" width="8.33203125" style="7" bestFit="1" customWidth="1"/>
    <col min="7" max="7" width="12" style="40" customWidth="1"/>
    <col min="8" max="8" width="15.33203125" style="7" customWidth="1"/>
    <col min="9" max="9" width="8.88671875" style="7"/>
    <col min="10" max="10" width="12.88671875" style="7" customWidth="1"/>
    <col min="11" max="11" width="8.88671875" style="7"/>
    <col min="12" max="12" width="12.88671875" style="7" customWidth="1"/>
    <col min="13" max="13" width="8.88671875" style="7"/>
    <col min="14" max="14" width="12.33203125" style="7" customWidth="1"/>
    <col min="15" max="16384" width="8.88671875" style="7"/>
  </cols>
  <sheetData>
    <row r="1" spans="1:15" ht="29.4" customHeight="1" x14ac:dyDescent="0.3">
      <c r="A1" s="119"/>
      <c r="B1" s="122" t="s">
        <v>154</v>
      </c>
      <c r="C1" s="123"/>
      <c r="D1" s="123"/>
      <c r="E1" s="123"/>
      <c r="F1" s="124"/>
      <c r="G1" s="122" t="s">
        <v>155</v>
      </c>
      <c r="H1" s="131"/>
      <c r="I1" s="131"/>
      <c r="J1" s="131"/>
      <c r="K1" s="131"/>
      <c r="L1" s="131"/>
      <c r="M1" s="132"/>
      <c r="N1" s="139" t="s">
        <v>0</v>
      </c>
      <c r="O1" s="140"/>
    </row>
    <row r="2" spans="1:15" ht="33.9" customHeight="1" x14ac:dyDescent="0.3">
      <c r="A2" s="120"/>
      <c r="B2" s="125"/>
      <c r="C2" s="126"/>
      <c r="D2" s="126"/>
      <c r="E2" s="126"/>
      <c r="F2" s="127"/>
      <c r="G2" s="133"/>
      <c r="H2" s="134"/>
      <c r="I2" s="134"/>
      <c r="J2" s="134"/>
      <c r="K2" s="134"/>
      <c r="L2" s="134"/>
      <c r="M2" s="135"/>
      <c r="N2" s="141"/>
      <c r="O2" s="142"/>
    </row>
    <row r="3" spans="1:15" ht="25.5" customHeight="1" thickBot="1" x14ac:dyDescent="0.35">
      <c r="A3" s="121"/>
      <c r="B3" s="128"/>
      <c r="C3" s="129"/>
      <c r="D3" s="129"/>
      <c r="E3" s="129"/>
      <c r="F3" s="130"/>
      <c r="G3" s="136"/>
      <c r="H3" s="137"/>
      <c r="I3" s="137"/>
      <c r="J3" s="137"/>
      <c r="K3" s="137"/>
      <c r="L3" s="137"/>
      <c r="M3" s="138"/>
      <c r="N3" s="143"/>
      <c r="O3" s="144"/>
    </row>
    <row r="4" spans="1:15" s="5" customFormat="1" ht="14.4" customHeight="1" x14ac:dyDescent="0.3">
      <c r="A4" s="112" t="s">
        <v>1</v>
      </c>
      <c r="B4" s="112" t="s">
        <v>2</v>
      </c>
      <c r="C4" s="112" t="s">
        <v>3</v>
      </c>
      <c r="D4" s="114" t="s">
        <v>4</v>
      </c>
      <c r="E4" s="112" t="s">
        <v>5</v>
      </c>
      <c r="F4" s="112" t="s">
        <v>6</v>
      </c>
      <c r="G4" s="116" t="s">
        <v>93</v>
      </c>
      <c r="H4" s="118" t="s">
        <v>79</v>
      </c>
      <c r="I4" s="118"/>
      <c r="J4" s="118" t="s">
        <v>78</v>
      </c>
      <c r="K4" s="118"/>
      <c r="L4" s="118" t="s">
        <v>7</v>
      </c>
      <c r="M4" s="118"/>
      <c r="N4" s="118" t="s">
        <v>8</v>
      </c>
      <c r="O4" s="118"/>
    </row>
    <row r="5" spans="1:15" s="5" customFormat="1" ht="31.2" x14ac:dyDescent="0.3">
      <c r="A5" s="113"/>
      <c r="B5" s="113"/>
      <c r="C5" s="113"/>
      <c r="D5" s="115"/>
      <c r="E5" s="113"/>
      <c r="F5" s="113"/>
      <c r="G5" s="117"/>
      <c r="H5" s="2" t="s">
        <v>9</v>
      </c>
      <c r="I5" s="3" t="s">
        <v>10</v>
      </c>
      <c r="J5" s="2" t="s">
        <v>9</v>
      </c>
      <c r="K5" s="2" t="s">
        <v>10</v>
      </c>
      <c r="L5" s="2" t="s">
        <v>9</v>
      </c>
      <c r="M5" s="2" t="s">
        <v>10</v>
      </c>
      <c r="N5" s="2" t="s">
        <v>9</v>
      </c>
      <c r="O5" s="2" t="s">
        <v>10</v>
      </c>
    </row>
    <row r="6" spans="1:15" ht="36.75" customHeight="1" x14ac:dyDescent="0.3">
      <c r="A6" s="73">
        <v>1</v>
      </c>
      <c r="B6" s="73" t="s">
        <v>58</v>
      </c>
      <c r="C6" s="74" t="s">
        <v>57</v>
      </c>
      <c r="D6" s="9" t="s">
        <v>55</v>
      </c>
      <c r="E6" s="10" t="s">
        <v>41</v>
      </c>
      <c r="F6" s="11">
        <v>0.15</v>
      </c>
      <c r="G6" s="11" t="s">
        <v>67</v>
      </c>
      <c r="H6" s="11" t="s">
        <v>67</v>
      </c>
      <c r="I6" s="10">
        <v>12</v>
      </c>
      <c r="J6" s="11" t="s">
        <v>67</v>
      </c>
      <c r="K6" s="10">
        <v>12</v>
      </c>
      <c r="L6" s="11" t="s">
        <v>67</v>
      </c>
      <c r="M6" s="10">
        <v>12</v>
      </c>
      <c r="N6" s="11" t="s">
        <v>67</v>
      </c>
      <c r="O6" s="10">
        <v>14.5</v>
      </c>
    </row>
    <row r="7" spans="1:15" ht="36.75" customHeight="1" x14ac:dyDescent="0.3">
      <c r="A7" s="73"/>
      <c r="B7" s="73"/>
      <c r="C7" s="74"/>
      <c r="D7" s="9" t="s">
        <v>59</v>
      </c>
      <c r="E7" s="10" t="s">
        <v>11</v>
      </c>
      <c r="F7" s="11">
        <v>0.15</v>
      </c>
      <c r="G7" s="10" t="s">
        <v>68</v>
      </c>
      <c r="H7" s="10" t="s">
        <v>68</v>
      </c>
      <c r="I7" s="10">
        <v>12</v>
      </c>
      <c r="J7" s="10" t="s">
        <v>68</v>
      </c>
      <c r="K7" s="10">
        <v>13</v>
      </c>
      <c r="L7" s="10" t="s">
        <v>68</v>
      </c>
      <c r="M7" s="10">
        <v>12</v>
      </c>
      <c r="N7" s="10" t="s">
        <v>68</v>
      </c>
      <c r="O7" s="10">
        <v>12</v>
      </c>
    </row>
    <row r="8" spans="1:15" x14ac:dyDescent="0.3">
      <c r="A8" s="73">
        <v>3</v>
      </c>
      <c r="B8" s="73" t="s">
        <v>77</v>
      </c>
      <c r="C8" s="74" t="s">
        <v>12</v>
      </c>
      <c r="D8" s="9" t="s">
        <v>134</v>
      </c>
      <c r="E8" s="10" t="s">
        <v>13</v>
      </c>
      <c r="F8" s="11">
        <v>0.1</v>
      </c>
      <c r="G8" s="11">
        <v>1</v>
      </c>
      <c r="H8" s="11">
        <v>1</v>
      </c>
      <c r="I8" s="10">
        <v>9</v>
      </c>
      <c r="J8" s="11">
        <v>1</v>
      </c>
      <c r="K8" s="10">
        <v>9</v>
      </c>
      <c r="L8" s="11">
        <v>1</v>
      </c>
      <c r="M8" s="10">
        <v>9</v>
      </c>
      <c r="N8" s="11">
        <v>1</v>
      </c>
      <c r="O8" s="10">
        <v>9</v>
      </c>
    </row>
    <row r="9" spans="1:15" ht="43.5" customHeight="1" x14ac:dyDescent="0.3">
      <c r="A9" s="73"/>
      <c r="B9" s="73"/>
      <c r="C9" s="74"/>
      <c r="D9" s="9" t="s">
        <v>130</v>
      </c>
      <c r="E9" s="10" t="s">
        <v>44</v>
      </c>
      <c r="F9" s="11">
        <v>7.0000000000000007E-2</v>
      </c>
      <c r="G9" s="11">
        <v>1</v>
      </c>
      <c r="H9" s="11">
        <v>1</v>
      </c>
      <c r="I9" s="36">
        <v>7</v>
      </c>
      <c r="J9" s="11">
        <v>1</v>
      </c>
      <c r="K9" s="10">
        <v>7</v>
      </c>
      <c r="L9" s="11">
        <v>1</v>
      </c>
      <c r="M9" s="10">
        <v>7</v>
      </c>
      <c r="N9" s="11">
        <v>1</v>
      </c>
      <c r="O9" s="10">
        <v>6</v>
      </c>
    </row>
    <row r="10" spans="1:15" x14ac:dyDescent="0.3">
      <c r="A10" s="73"/>
      <c r="B10" s="73"/>
      <c r="C10" s="74"/>
      <c r="D10" s="9" t="s">
        <v>131</v>
      </c>
      <c r="E10" s="10" t="s">
        <v>13</v>
      </c>
      <c r="F10" s="11">
        <v>7.0000000000000007E-2</v>
      </c>
      <c r="G10" s="11">
        <v>1</v>
      </c>
      <c r="H10" s="11">
        <v>1</v>
      </c>
      <c r="I10" s="36">
        <v>6</v>
      </c>
      <c r="J10" s="11">
        <v>1</v>
      </c>
      <c r="K10" s="10">
        <v>6</v>
      </c>
      <c r="L10" s="11">
        <v>1</v>
      </c>
      <c r="M10" s="10">
        <v>6</v>
      </c>
      <c r="N10" s="11">
        <v>1</v>
      </c>
      <c r="O10" s="10">
        <v>6</v>
      </c>
    </row>
    <row r="11" spans="1:15" ht="15.75" customHeight="1" x14ac:dyDescent="0.3">
      <c r="A11" s="73"/>
      <c r="B11" s="73"/>
      <c r="C11" s="74"/>
      <c r="D11" s="9" t="s">
        <v>47</v>
      </c>
      <c r="E11" s="10" t="s">
        <v>13</v>
      </c>
      <c r="F11" s="11">
        <v>7.0000000000000007E-2</v>
      </c>
      <c r="G11" s="11" t="s">
        <v>48</v>
      </c>
      <c r="H11" s="11" t="s">
        <v>48</v>
      </c>
      <c r="I11" s="36">
        <v>6</v>
      </c>
      <c r="J11" s="11" t="s">
        <v>48</v>
      </c>
      <c r="K11" s="36">
        <v>6</v>
      </c>
      <c r="L11" s="11" t="s">
        <v>48</v>
      </c>
      <c r="M11" s="36">
        <v>6</v>
      </c>
      <c r="N11" s="11" t="s">
        <v>48</v>
      </c>
      <c r="O11" s="36">
        <v>6</v>
      </c>
    </row>
    <row r="12" spans="1:15" ht="15" customHeight="1" x14ac:dyDescent="0.3">
      <c r="A12" s="73"/>
      <c r="B12" s="73"/>
      <c r="C12" s="74"/>
      <c r="D12" s="9" t="s">
        <v>49</v>
      </c>
      <c r="E12" s="10" t="s">
        <v>13</v>
      </c>
      <c r="F12" s="11">
        <v>0.03</v>
      </c>
      <c r="G12" s="11" t="s">
        <v>48</v>
      </c>
      <c r="H12" s="11" t="s">
        <v>48</v>
      </c>
      <c r="I12" s="36">
        <v>3</v>
      </c>
      <c r="J12" s="11" t="s">
        <v>48</v>
      </c>
      <c r="K12" s="36">
        <v>3</v>
      </c>
      <c r="L12" s="11" t="s">
        <v>48</v>
      </c>
      <c r="M12" s="36">
        <v>3</v>
      </c>
      <c r="N12" s="11" t="s">
        <v>48</v>
      </c>
      <c r="O12" s="36">
        <v>3</v>
      </c>
    </row>
    <row r="13" spans="1:15" ht="30" customHeight="1" x14ac:dyDescent="0.3">
      <c r="A13" s="73"/>
      <c r="B13" s="73"/>
      <c r="C13" s="13" t="s">
        <v>14</v>
      </c>
      <c r="D13" s="9" t="s">
        <v>51</v>
      </c>
      <c r="E13" s="10" t="s">
        <v>13</v>
      </c>
      <c r="F13" s="11">
        <v>7.0000000000000007E-2</v>
      </c>
      <c r="G13" s="11">
        <v>1</v>
      </c>
      <c r="H13" s="11">
        <v>1</v>
      </c>
      <c r="I13" s="36">
        <v>7</v>
      </c>
      <c r="J13" s="11">
        <v>1</v>
      </c>
      <c r="K13" s="36">
        <v>6</v>
      </c>
      <c r="L13" s="11">
        <v>1</v>
      </c>
      <c r="M13" s="36">
        <v>7</v>
      </c>
      <c r="N13" s="11">
        <v>1</v>
      </c>
      <c r="O13" s="36">
        <v>6</v>
      </c>
    </row>
    <row r="14" spans="1:15" x14ac:dyDescent="0.3">
      <c r="A14" s="73"/>
      <c r="B14" s="73"/>
      <c r="C14" s="74" t="s">
        <v>15</v>
      </c>
      <c r="D14" s="9" t="s">
        <v>132</v>
      </c>
      <c r="E14" s="10" t="s">
        <v>13</v>
      </c>
      <c r="F14" s="11">
        <v>7.0000000000000007E-2</v>
      </c>
      <c r="G14" s="11">
        <v>1</v>
      </c>
      <c r="H14" s="11">
        <v>1</v>
      </c>
      <c r="I14" s="36">
        <v>6</v>
      </c>
      <c r="J14" s="11">
        <v>1</v>
      </c>
      <c r="K14" s="36">
        <v>6</v>
      </c>
      <c r="L14" s="11">
        <v>1</v>
      </c>
      <c r="M14" s="36">
        <v>7</v>
      </c>
      <c r="N14" s="11">
        <v>1</v>
      </c>
      <c r="O14" s="36">
        <v>6</v>
      </c>
    </row>
    <row r="15" spans="1:15" x14ac:dyDescent="0.3">
      <c r="A15" s="73"/>
      <c r="B15" s="73"/>
      <c r="C15" s="74"/>
      <c r="D15" s="9" t="s">
        <v>133</v>
      </c>
      <c r="E15" s="10" t="s">
        <v>13</v>
      </c>
      <c r="F15" s="11">
        <v>7.0000000000000007E-2</v>
      </c>
      <c r="G15" s="11">
        <v>1</v>
      </c>
      <c r="H15" s="11">
        <v>1</v>
      </c>
      <c r="I15" s="36">
        <v>7</v>
      </c>
      <c r="J15" s="11">
        <v>1</v>
      </c>
      <c r="K15" s="36">
        <v>7</v>
      </c>
      <c r="L15" s="11">
        <v>1</v>
      </c>
      <c r="M15" s="36">
        <v>7</v>
      </c>
      <c r="N15" s="11">
        <v>1</v>
      </c>
      <c r="O15" s="36">
        <v>7</v>
      </c>
    </row>
    <row r="16" spans="1:15" x14ac:dyDescent="0.3">
      <c r="A16" s="73"/>
      <c r="B16" s="73"/>
      <c r="C16" s="74"/>
      <c r="D16" s="9" t="s">
        <v>54</v>
      </c>
      <c r="E16" s="10" t="s">
        <v>13</v>
      </c>
      <c r="F16" s="11">
        <v>7.0000000000000007E-2</v>
      </c>
      <c r="G16" s="11">
        <v>1</v>
      </c>
      <c r="H16" s="11">
        <v>1</v>
      </c>
      <c r="I16" s="36">
        <v>7</v>
      </c>
      <c r="J16" s="11">
        <v>1</v>
      </c>
      <c r="K16" s="36">
        <v>7</v>
      </c>
      <c r="L16" s="11">
        <v>1</v>
      </c>
      <c r="M16" s="36">
        <v>7</v>
      </c>
      <c r="N16" s="11">
        <v>1</v>
      </c>
      <c r="O16" s="36">
        <v>7</v>
      </c>
    </row>
    <row r="17" spans="1:15" x14ac:dyDescent="0.3">
      <c r="A17" s="73"/>
      <c r="B17" s="73"/>
      <c r="C17" s="74"/>
      <c r="D17" s="9" t="s">
        <v>16</v>
      </c>
      <c r="E17" s="10" t="s">
        <v>13</v>
      </c>
      <c r="F17" s="11">
        <v>0.08</v>
      </c>
      <c r="G17" s="11">
        <v>1</v>
      </c>
      <c r="H17" s="11">
        <v>1</v>
      </c>
      <c r="I17" s="36">
        <v>7</v>
      </c>
      <c r="J17" s="11">
        <v>1</v>
      </c>
      <c r="K17" s="36">
        <v>6</v>
      </c>
      <c r="L17" s="11">
        <v>1</v>
      </c>
      <c r="M17" s="36">
        <v>7</v>
      </c>
      <c r="N17" s="11">
        <v>1</v>
      </c>
      <c r="O17" s="36">
        <v>7</v>
      </c>
    </row>
    <row r="18" spans="1:15" x14ac:dyDescent="0.3">
      <c r="A18" s="41"/>
      <c r="B18" s="41"/>
      <c r="C18" s="41"/>
      <c r="D18" s="41"/>
      <c r="E18" s="41"/>
      <c r="F18" s="37">
        <f>SUM(F6:F17)</f>
        <v>1.0000000000000004</v>
      </c>
      <c r="G18" s="41"/>
      <c r="H18" s="41"/>
      <c r="I18" s="39">
        <f>SUM(I6:I17)</f>
        <v>89</v>
      </c>
      <c r="J18" s="41"/>
      <c r="K18" s="39">
        <f>SUM(K6:K17)</f>
        <v>88</v>
      </c>
      <c r="L18" s="41"/>
      <c r="M18" s="39">
        <f>SUM(M6:M17)</f>
        <v>90</v>
      </c>
      <c r="N18" s="41"/>
      <c r="O18" s="39">
        <f>SUM(O6:O17)</f>
        <v>89.5</v>
      </c>
    </row>
    <row r="20" spans="1:15" x14ac:dyDescent="0.3">
      <c r="D20" s="159"/>
    </row>
  </sheetData>
  <mergeCells count="22">
    <mergeCell ref="A8:A17"/>
    <mergeCell ref="B8:B17"/>
    <mergeCell ref="C8:C12"/>
    <mergeCell ref="C14:C17"/>
    <mergeCell ref="G4:G5"/>
    <mergeCell ref="H4:I4"/>
    <mergeCell ref="J4:K4"/>
    <mergeCell ref="L4:M4"/>
    <mergeCell ref="N4:O4"/>
    <mergeCell ref="A6:A7"/>
    <mergeCell ref="B6:B7"/>
    <mergeCell ref="C6:C7"/>
    <mergeCell ref="A1:A3"/>
    <mergeCell ref="B1:F3"/>
    <mergeCell ref="G1:M3"/>
    <mergeCell ref="N1:O3"/>
    <mergeCell ref="A4:A5"/>
    <mergeCell ref="B4:B5"/>
    <mergeCell ref="C4:C5"/>
    <mergeCell ref="D4:D5"/>
    <mergeCell ref="E4:E5"/>
    <mergeCell ref="F4:F5"/>
  </mergeCells>
  <pageMargins left="0.19685039370078741" right="0.19685039370078741" top="0.19685039370078741" bottom="0.19685039370078741" header="0.19685039370078741" footer="3.937007874015748E-2"/>
  <pageSetup scale="6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D4C8-DC2F-48E6-81E9-879997D6D2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Bhupesh Sharma</vt:lpstr>
      <vt:lpstr>Vijay Mishra</vt:lpstr>
      <vt:lpstr>Sikandar Khan</vt:lpstr>
      <vt:lpstr>Rahul Gawri</vt:lpstr>
      <vt:lpstr> Naunihal</vt:lpstr>
      <vt:lpstr>Raina</vt:lpstr>
      <vt:lpstr>Vishal</vt:lpstr>
      <vt:lpstr>Sarthak</vt:lpstr>
      <vt:lpstr>Sandeep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Mathur</dc:creator>
  <cp:lastModifiedBy>Bhupesh Sharma</cp:lastModifiedBy>
  <cp:lastPrinted>2026-04-13T06:31:13Z</cp:lastPrinted>
  <dcterms:created xsi:type="dcterms:W3CDTF">2024-01-24T06:56:15Z</dcterms:created>
  <dcterms:modified xsi:type="dcterms:W3CDTF">2026-04-13T08:47:26Z</dcterms:modified>
</cp:coreProperties>
</file>