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miya Khan\Desktop\"/>
    </mc:Choice>
  </mc:AlternateContent>
  <xr:revisionPtr revIDLastSave="0" documentId="8_{863D697B-8732-4E95-8786-AF507E7968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A48" i="1"/>
  <c r="I41" i="1"/>
  <c r="I40" i="1"/>
  <c r="I35" i="1"/>
</calcChain>
</file>

<file path=xl/sharedStrings.xml><?xml version="1.0" encoding="utf-8"?>
<sst xmlns="http://schemas.openxmlformats.org/spreadsheetml/2006/main" count="243" uniqueCount="94">
  <si>
    <t>Unit 37 Increment 2025-2026</t>
  </si>
  <si>
    <t>Sl No</t>
  </si>
  <si>
    <t>WEBTEL EMP CODE</t>
  </si>
  <si>
    <t>`</t>
  </si>
  <si>
    <t>Name</t>
  </si>
  <si>
    <t>working Location</t>
  </si>
  <si>
    <t>Division</t>
  </si>
  <si>
    <t>SALARY LOCATION</t>
  </si>
  <si>
    <t>Date Of Birth</t>
  </si>
  <si>
    <t>Age</t>
  </si>
  <si>
    <t>Join Date</t>
  </si>
  <si>
    <t>Department</t>
  </si>
  <si>
    <t>DESIGNATION</t>
  </si>
  <si>
    <t>SUDHA JETLI</t>
  </si>
  <si>
    <t>BONY 37P</t>
  </si>
  <si>
    <t>Bony Polymers Pvt Ltd</t>
  </si>
  <si>
    <t>37-P</t>
  </si>
  <si>
    <t>DISPATCH &amp; BILLING</t>
  </si>
  <si>
    <t>SENIOR OFFICER</t>
  </si>
  <si>
    <t>BRIJ MOHAN</t>
  </si>
  <si>
    <t>PRODUCTION</t>
  </si>
  <si>
    <t>SUPERVISOR</t>
  </si>
  <si>
    <t>SATYA PRAKASH YADAV</t>
  </si>
  <si>
    <t>DISPATCH</t>
  </si>
  <si>
    <t>SENIOR ENGINEER</t>
  </si>
  <si>
    <t>GURDEEP SINGH</t>
  </si>
  <si>
    <t>QUALITY</t>
  </si>
  <si>
    <t>ENGINEER</t>
  </si>
  <si>
    <t>Mahipal</t>
  </si>
  <si>
    <t>MAINTENANCE</t>
  </si>
  <si>
    <t>SENIOR TECHNICIAN</t>
  </si>
  <si>
    <t>RAMESH SINGH</t>
  </si>
  <si>
    <t>ASSISTANT MANAGER</t>
  </si>
  <si>
    <t>LAKHMI CHAND</t>
  </si>
  <si>
    <t>PARVEEN</t>
  </si>
  <si>
    <t>ASSISTANT SUPERVISOR</t>
  </si>
  <si>
    <t>MUKESH KUMAR RAI</t>
  </si>
  <si>
    <t>SENIOR SUPERVISOR</t>
  </si>
  <si>
    <t>MANVENDRA SINGH</t>
  </si>
  <si>
    <t>VEERPAL SINGH</t>
  </si>
  <si>
    <t>PRAVEEN KUMAR</t>
  </si>
  <si>
    <t>STORE</t>
  </si>
  <si>
    <t>BFSC010</t>
  </si>
  <si>
    <t>RAJ</t>
  </si>
  <si>
    <t>Bony Fluid Systems Pvt Ltd</t>
  </si>
  <si>
    <t>BFSL</t>
  </si>
  <si>
    <t>ASSISTANT ENGINEER</t>
  </si>
  <si>
    <t>SACHIN</t>
  </si>
  <si>
    <t>BFSC014</t>
  </si>
  <si>
    <t>JAIKARAN THAKUR</t>
  </si>
  <si>
    <t>OPERATOR</t>
  </si>
  <si>
    <t>Mahima</t>
  </si>
  <si>
    <t>DATA ENTRY OPERATOR</t>
  </si>
  <si>
    <t>Prince Bharti</t>
  </si>
  <si>
    <t>CO</t>
  </si>
  <si>
    <t>RAKESH</t>
  </si>
  <si>
    <t>TECHNICIAN</t>
  </si>
  <si>
    <t>DINESH BHATT</t>
  </si>
  <si>
    <t>MOHAN YADAV</t>
  </si>
  <si>
    <t>AMIT KUMAR</t>
  </si>
  <si>
    <t>DEVELOPMENT</t>
  </si>
  <si>
    <t xml:space="preserve">AJAY SINGH </t>
  </si>
  <si>
    <t>ANAND KUMAR</t>
  </si>
  <si>
    <t>SENIOR EXECUTIVE</t>
  </si>
  <si>
    <t>AJIT TIWARI</t>
  </si>
  <si>
    <t>RUPESH SINGHAL</t>
  </si>
  <si>
    <t>KAPTAN</t>
  </si>
  <si>
    <t>RAJ KUMAR SHARMA</t>
  </si>
  <si>
    <t>OPERATIONS</t>
  </si>
  <si>
    <t>AGM</t>
  </si>
  <si>
    <t>NAVEEN SANDHU</t>
  </si>
  <si>
    <t>PANKAJ</t>
  </si>
  <si>
    <t>PRITHLA</t>
  </si>
  <si>
    <t>Saket Fabs Pvt Ltd</t>
  </si>
  <si>
    <t>MIS</t>
  </si>
  <si>
    <t>EXECUTIVE</t>
  </si>
  <si>
    <t>PRINCE KUMAR</t>
  </si>
  <si>
    <t>HARISHANKAR</t>
  </si>
  <si>
    <t>37P</t>
  </si>
  <si>
    <t>TRAINEE</t>
  </si>
  <si>
    <t>ROUHDAS</t>
  </si>
  <si>
    <t>ETP OPERATOR</t>
  </si>
  <si>
    <t>HARSH</t>
  </si>
  <si>
    <t>VIPIN KUMAR</t>
  </si>
  <si>
    <t>AMIT KUMAR TIWARI</t>
  </si>
  <si>
    <t>HR</t>
  </si>
  <si>
    <t>DEPUTY MANAGER</t>
  </si>
  <si>
    <t>JAWAHAR LAL SHARMA</t>
  </si>
  <si>
    <t>LALIT TEWATIA</t>
  </si>
  <si>
    <t>BONY 37 P</t>
  </si>
  <si>
    <t>PPC</t>
  </si>
  <si>
    <t>PAWAN KUMAR MAURYA</t>
  </si>
  <si>
    <t>BONY 37P Inesny</t>
  </si>
  <si>
    <t>BONY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</si>
</sst>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15" fontId="4" fillId="0" borderId="5" xfId="0" applyNumberFormat="1" applyFont="1" applyBorder="1" applyAlignment="1">
      <alignment horizontal="left" vertical="top"/>
    </xf>
    <xf numFmtId="164" fontId="4" fillId="0" borderId="5" xfId="0" applyNumberFormat="1" applyFont="1" applyBorder="1" applyAlignment="1">
      <alignment horizontal="center" vertical="top"/>
    </xf>
    <xf numFmtId="0" fontId="4" fillId="3" borderId="5" xfId="0" applyFont="1" applyFill="1" applyBorder="1" applyAlignment="1">
      <alignment horizontal="left" vertical="top"/>
    </xf>
    <xf numFmtId="15" fontId="5" fillId="0" borderId="5" xfId="0" applyNumberFormat="1" applyFont="1" applyBorder="1" applyAlignment="1">
      <alignment horizontal="left" vertical="center"/>
    </xf>
    <xf numFmtId="0" fontId="0" fillId="2" borderId="5" xfId="0" applyFill="1" applyBorder="1"/>
    <xf numFmtId="0" fontId="5" fillId="0" borderId="5" xfId="0" applyFont="1" applyBorder="1" applyAlignment="1">
      <alignment horizontal="left"/>
    </xf>
    <xf numFmtId="164" fontId="6" fillId="0" borderId="5" xfId="0" applyNumberFormat="1" applyFont="1" applyBorder="1" applyAlignment="1">
      <alignment horizontal="center"/>
    </xf>
    <xf numFmtId="15" fontId="5" fillId="0" borderId="5" xfId="0" applyNumberFormat="1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2" borderId="5" xfId="0" applyFont="1" applyFill="1" applyBorder="1" applyAlignment="1">
      <alignment horizontal="left" readingOrder="1"/>
    </xf>
    <xf numFmtId="0" fontId="5" fillId="3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 readingOrder="1"/>
    </xf>
    <xf numFmtId="15" fontId="4" fillId="4" borderId="5" xfId="0" applyNumberFormat="1" applyFont="1" applyFill="1" applyBorder="1" applyAlignment="1">
      <alignment horizontal="left"/>
    </xf>
    <xf numFmtId="15" fontId="5" fillId="3" borderId="5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7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left" wrapText="1"/>
    </xf>
    <xf numFmtId="0" fontId="4" fillId="5" borderId="4" xfId="0" applyFont="1" applyFill="1" applyBorder="1" applyAlignment="1">
      <alignment horizontal="left" vertical="top"/>
    </xf>
    <xf numFmtId="0" fontId="5" fillId="5" borderId="5" xfId="0" applyFont="1" applyFill="1" applyBorder="1" applyAlignment="1">
      <alignment horizontal="left" vertical="center" readingOrder="1"/>
    </xf>
    <xf numFmtId="0" fontId="4" fillId="5" borderId="5" xfId="0" applyFont="1" applyFill="1" applyBorder="1" applyAlignment="1">
      <alignment horizontal="left" vertical="top"/>
    </xf>
    <xf numFmtId="15" fontId="4" fillId="5" borderId="5" xfId="0" applyNumberFormat="1" applyFont="1" applyFill="1" applyBorder="1" applyAlignment="1">
      <alignment horizontal="left"/>
    </xf>
    <xf numFmtId="164" fontId="4" fillId="5" borderId="5" xfId="0" applyNumberFormat="1" applyFont="1" applyFill="1" applyBorder="1" applyAlignment="1">
      <alignment horizontal="center" vertical="top"/>
    </xf>
    <xf numFmtId="15" fontId="5" fillId="5" borderId="5" xfId="0" applyNumberFormat="1" applyFont="1" applyFill="1" applyBorder="1" applyAlignment="1">
      <alignment horizontal="left"/>
    </xf>
    <xf numFmtId="0" fontId="5" fillId="5" borderId="5" xfId="0" applyFont="1" applyFill="1" applyBorder="1" applyAlignment="1">
      <alignment horizontal="left" vertical="center" wrapText="1" readingOrder="1"/>
    </xf>
    <xf numFmtId="0" fontId="5" fillId="5" borderId="5" xfId="0" applyFont="1" applyFill="1" applyBorder="1" applyAlignment="1">
      <alignment horizontal="left"/>
    </xf>
    <xf numFmtId="0" fontId="5" fillId="0" borderId="5" xfId="0" applyFont="1" applyBorder="1" applyAlignment="1">
      <alignment horizontal="left" vertical="center" readingOrder="1"/>
    </xf>
    <xf numFmtId="0" fontId="5" fillId="2" borderId="5" xfId="0" applyFont="1" applyFill="1" applyBorder="1" applyAlignment="1">
      <alignment horizontal="left" vertical="center" readingOrder="1"/>
    </xf>
    <xf numFmtId="0" fontId="5" fillId="0" borderId="5" xfId="0" applyFont="1" applyBorder="1" applyAlignment="1">
      <alignment horizontal="left" vertical="center" wrapText="1" readingOrder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selection activeCell="J11" sqref="J11"/>
    </sheetView>
  </sheetViews>
  <sheetFormatPr defaultRowHeight="14.5" x14ac:dyDescent="0.35"/>
  <cols>
    <col min="1" max="1" width="5.1796875" customWidth="1"/>
    <col min="2" max="2" width="0" hidden="1" customWidth="1"/>
    <col min="3" max="3" width="8.81640625"/>
    <col min="4" max="4" width="20.36328125" bestFit="1" customWidth="1"/>
    <col min="5" max="5" width="13.7265625" bestFit="1" customWidth="1"/>
    <col min="6" max="9" width="8.81640625" hidden="1" customWidth="1"/>
    <col min="10" max="10" width="8.81640625"/>
    <col min="11" max="11" width="16.1796875" customWidth="1"/>
    <col min="12" max="12" width="19.1796875" customWidth="1"/>
  </cols>
  <sheetData>
    <row r="1" spans="1:12" ht="23.5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15" thickBot="1" x14ac:dyDescent="0.4"/>
    <row r="4" spans="1:12" ht="21" x14ac:dyDescent="0.35">
      <c r="A4" s="2" t="s">
        <v>1</v>
      </c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  <c r="G4" s="8" t="s">
        <v>7</v>
      </c>
      <c r="H4" s="8" t="s">
        <v>8</v>
      </c>
      <c r="I4" s="7" t="s">
        <v>9</v>
      </c>
      <c r="J4" s="7" t="s">
        <v>10</v>
      </c>
      <c r="K4" s="7" t="s">
        <v>11</v>
      </c>
      <c r="L4" s="8" t="s">
        <v>12</v>
      </c>
    </row>
    <row r="5" spans="1:12" x14ac:dyDescent="0.35">
      <c r="A5" s="9">
        <v>1</v>
      </c>
      <c r="B5" s="10">
        <v>100026</v>
      </c>
      <c r="C5" s="10">
        <v>100026</v>
      </c>
      <c r="D5" s="11" t="s">
        <v>13</v>
      </c>
      <c r="E5" s="10" t="s">
        <v>14</v>
      </c>
      <c r="F5" s="10" t="s">
        <v>15</v>
      </c>
      <c r="G5" s="10" t="s">
        <v>16</v>
      </c>
      <c r="H5" s="12">
        <v>30579</v>
      </c>
      <c r="I5" s="13">
        <v>42.372602739726027</v>
      </c>
      <c r="J5" s="12">
        <v>39167</v>
      </c>
      <c r="K5" s="10" t="s">
        <v>17</v>
      </c>
      <c r="L5" s="10" t="s">
        <v>18</v>
      </c>
    </row>
    <row r="6" spans="1:12" x14ac:dyDescent="0.35">
      <c r="A6" s="9">
        <v>2</v>
      </c>
      <c r="B6" s="10">
        <v>100038</v>
      </c>
      <c r="C6" s="10">
        <v>100038</v>
      </c>
      <c r="D6" s="11" t="s">
        <v>19</v>
      </c>
      <c r="E6" s="10" t="s">
        <v>14</v>
      </c>
      <c r="F6" s="10" t="s">
        <v>15</v>
      </c>
      <c r="G6" s="10" t="s">
        <v>16</v>
      </c>
      <c r="H6" s="12">
        <v>28921</v>
      </c>
      <c r="I6" s="13">
        <v>46.915068493150685</v>
      </c>
      <c r="J6" s="12">
        <v>39338</v>
      </c>
      <c r="K6" s="10" t="s">
        <v>20</v>
      </c>
      <c r="L6" s="10" t="s">
        <v>21</v>
      </c>
    </row>
    <row r="7" spans="1:12" x14ac:dyDescent="0.35">
      <c r="A7" s="9">
        <v>3</v>
      </c>
      <c r="B7" s="10">
        <v>100084</v>
      </c>
      <c r="C7" s="10">
        <v>100084</v>
      </c>
      <c r="D7" s="11" t="s">
        <v>22</v>
      </c>
      <c r="E7" s="10" t="s">
        <v>14</v>
      </c>
      <c r="F7" s="10" t="s">
        <v>15</v>
      </c>
      <c r="G7" s="10" t="s">
        <v>16</v>
      </c>
      <c r="H7" s="12">
        <v>29566</v>
      </c>
      <c r="I7" s="13">
        <v>45.147945205479452</v>
      </c>
      <c r="J7" s="12">
        <v>40280</v>
      </c>
      <c r="K7" s="10" t="s">
        <v>23</v>
      </c>
      <c r="L7" s="10" t="s">
        <v>24</v>
      </c>
    </row>
    <row r="8" spans="1:12" x14ac:dyDescent="0.35">
      <c r="A8" s="9">
        <v>4</v>
      </c>
      <c r="B8" s="10">
        <v>100127</v>
      </c>
      <c r="C8" s="10">
        <v>100127</v>
      </c>
      <c r="D8" s="11" t="s">
        <v>25</v>
      </c>
      <c r="E8" s="10" t="s">
        <v>14</v>
      </c>
      <c r="F8" s="10" t="s">
        <v>15</v>
      </c>
      <c r="G8" s="10" t="s">
        <v>16</v>
      </c>
      <c r="H8" s="12">
        <v>33428</v>
      </c>
      <c r="I8" s="13">
        <v>34.56712328767123</v>
      </c>
      <c r="J8" s="12">
        <v>40729</v>
      </c>
      <c r="K8" s="10" t="s">
        <v>26</v>
      </c>
      <c r="L8" s="10" t="s">
        <v>27</v>
      </c>
    </row>
    <row r="9" spans="1:12" x14ac:dyDescent="0.35">
      <c r="A9" s="9">
        <v>5</v>
      </c>
      <c r="B9" s="10">
        <v>101394</v>
      </c>
      <c r="C9" s="10">
        <v>101394</v>
      </c>
      <c r="D9" s="11" t="s">
        <v>28</v>
      </c>
      <c r="E9" s="10" t="s">
        <v>14</v>
      </c>
      <c r="F9" s="10" t="s">
        <v>15</v>
      </c>
      <c r="G9" s="10" t="s">
        <v>16</v>
      </c>
      <c r="H9" s="12">
        <v>29221</v>
      </c>
      <c r="I9" s="13">
        <v>46.093150684931508</v>
      </c>
      <c r="J9" s="12">
        <v>40765</v>
      </c>
      <c r="K9" s="10" t="s">
        <v>29</v>
      </c>
      <c r="L9" s="10" t="s">
        <v>30</v>
      </c>
    </row>
    <row r="10" spans="1:12" x14ac:dyDescent="0.35">
      <c r="A10" s="9">
        <v>6</v>
      </c>
      <c r="B10" s="10">
        <v>100161</v>
      </c>
      <c r="C10" s="10">
        <v>100161</v>
      </c>
      <c r="D10" s="11" t="s">
        <v>31</v>
      </c>
      <c r="E10" s="10" t="s">
        <v>14</v>
      </c>
      <c r="F10" s="10" t="s">
        <v>15</v>
      </c>
      <c r="G10" s="10" t="s">
        <v>16</v>
      </c>
      <c r="H10" s="12">
        <v>30864</v>
      </c>
      <c r="I10" s="13">
        <v>41.591780821917808</v>
      </c>
      <c r="J10" s="12">
        <v>41183</v>
      </c>
      <c r="K10" s="10" t="s">
        <v>23</v>
      </c>
      <c r="L10" s="10" t="s">
        <v>32</v>
      </c>
    </row>
    <row r="11" spans="1:12" x14ac:dyDescent="0.35">
      <c r="A11" s="9">
        <v>7</v>
      </c>
      <c r="B11" s="10">
        <v>100225</v>
      </c>
      <c r="C11" s="10">
        <v>100225</v>
      </c>
      <c r="D11" s="14" t="s">
        <v>33</v>
      </c>
      <c r="E11" s="10" t="s">
        <v>14</v>
      </c>
      <c r="F11" s="10" t="s">
        <v>15</v>
      </c>
      <c r="G11" s="10" t="s">
        <v>16</v>
      </c>
      <c r="H11" s="12">
        <v>34183</v>
      </c>
      <c r="I11" s="13">
        <v>32.4986301369863</v>
      </c>
      <c r="J11" s="12">
        <v>42018</v>
      </c>
      <c r="K11" s="10" t="s">
        <v>26</v>
      </c>
      <c r="L11" s="10" t="s">
        <v>21</v>
      </c>
    </row>
    <row r="12" spans="1:12" x14ac:dyDescent="0.35">
      <c r="A12" s="9">
        <v>8</v>
      </c>
      <c r="B12" s="10">
        <v>100270</v>
      </c>
      <c r="C12" s="10">
        <v>100270</v>
      </c>
      <c r="D12" s="11" t="s">
        <v>34</v>
      </c>
      <c r="E12" s="10" t="s">
        <v>14</v>
      </c>
      <c r="F12" s="10" t="s">
        <v>15</v>
      </c>
      <c r="G12" s="10" t="s">
        <v>16</v>
      </c>
      <c r="H12" s="12">
        <v>33199</v>
      </c>
      <c r="I12" s="13">
        <v>35.194520547945203</v>
      </c>
      <c r="J12" s="12">
        <v>42401</v>
      </c>
      <c r="K12" s="10" t="s">
        <v>20</v>
      </c>
      <c r="L12" s="10" t="s">
        <v>35</v>
      </c>
    </row>
    <row r="13" spans="1:12" x14ac:dyDescent="0.35">
      <c r="A13" s="9">
        <v>9</v>
      </c>
      <c r="B13" s="10">
        <v>100634</v>
      </c>
      <c r="C13" s="10">
        <v>100634</v>
      </c>
      <c r="D13" s="11" t="s">
        <v>36</v>
      </c>
      <c r="E13" s="10" t="s">
        <v>14</v>
      </c>
      <c r="F13" s="10" t="s">
        <v>15</v>
      </c>
      <c r="G13" s="10" t="s">
        <v>16</v>
      </c>
      <c r="H13" s="12">
        <v>34981</v>
      </c>
      <c r="I13" s="13">
        <v>30.312328767123287</v>
      </c>
      <c r="J13" s="12">
        <v>43167</v>
      </c>
      <c r="K13" s="10" t="s">
        <v>29</v>
      </c>
      <c r="L13" s="10" t="s">
        <v>37</v>
      </c>
    </row>
    <row r="14" spans="1:12" x14ac:dyDescent="0.35">
      <c r="A14" s="9">
        <v>10</v>
      </c>
      <c r="B14" s="10">
        <v>100669</v>
      </c>
      <c r="C14" s="10">
        <v>100669</v>
      </c>
      <c r="D14" s="11" t="s">
        <v>38</v>
      </c>
      <c r="E14" s="10" t="s">
        <v>14</v>
      </c>
      <c r="F14" s="10" t="s">
        <v>15</v>
      </c>
      <c r="G14" s="10" t="s">
        <v>16</v>
      </c>
      <c r="H14" s="12">
        <v>32845</v>
      </c>
      <c r="I14" s="13">
        <v>36.164383561643838</v>
      </c>
      <c r="J14" s="12">
        <v>43249</v>
      </c>
      <c r="K14" s="10" t="s">
        <v>29</v>
      </c>
      <c r="L14" s="10" t="s">
        <v>37</v>
      </c>
    </row>
    <row r="15" spans="1:12" x14ac:dyDescent="0.35">
      <c r="A15" s="9">
        <v>11</v>
      </c>
      <c r="B15" s="10">
        <v>100812</v>
      </c>
      <c r="C15" s="10">
        <v>100812</v>
      </c>
      <c r="D15" s="11" t="s">
        <v>39</v>
      </c>
      <c r="E15" s="10" t="s">
        <v>14</v>
      </c>
      <c r="F15" s="10" t="s">
        <v>15</v>
      </c>
      <c r="G15" s="10" t="s">
        <v>16</v>
      </c>
      <c r="H15" s="12">
        <v>34170</v>
      </c>
      <c r="I15" s="13">
        <v>32.534246575342465</v>
      </c>
      <c r="J15" s="12">
        <v>43374</v>
      </c>
      <c r="K15" s="10" t="s">
        <v>20</v>
      </c>
      <c r="L15" s="10" t="s">
        <v>21</v>
      </c>
    </row>
    <row r="16" spans="1:12" x14ac:dyDescent="0.35">
      <c r="A16" s="9">
        <v>12</v>
      </c>
      <c r="B16" s="10">
        <v>101047</v>
      </c>
      <c r="C16" s="10">
        <v>101047</v>
      </c>
      <c r="D16" s="11" t="s">
        <v>40</v>
      </c>
      <c r="E16" s="10" t="s">
        <v>14</v>
      </c>
      <c r="F16" s="10" t="s">
        <v>15</v>
      </c>
      <c r="G16" s="10" t="s">
        <v>16</v>
      </c>
      <c r="H16" s="12">
        <v>31474</v>
      </c>
      <c r="I16" s="13">
        <v>39.920547945205477</v>
      </c>
      <c r="J16" s="12">
        <v>44144</v>
      </c>
      <c r="K16" s="10" t="s">
        <v>41</v>
      </c>
      <c r="L16" s="10" t="s">
        <v>32</v>
      </c>
    </row>
    <row r="17" spans="1:12" x14ac:dyDescent="0.35">
      <c r="A17" s="9">
        <v>13</v>
      </c>
      <c r="B17" s="10" t="s">
        <v>42</v>
      </c>
      <c r="C17" s="10">
        <v>10073</v>
      </c>
      <c r="D17" s="11" t="s">
        <v>43</v>
      </c>
      <c r="E17" s="10" t="s">
        <v>14</v>
      </c>
      <c r="F17" s="10" t="s">
        <v>44</v>
      </c>
      <c r="G17" s="10" t="s">
        <v>45</v>
      </c>
      <c r="H17" s="12">
        <v>36239</v>
      </c>
      <c r="I17" s="13">
        <v>26.865753424657534</v>
      </c>
      <c r="J17" s="12">
        <v>44146</v>
      </c>
      <c r="K17" s="10" t="s">
        <v>20</v>
      </c>
      <c r="L17" s="10" t="s">
        <v>46</v>
      </c>
    </row>
    <row r="18" spans="1:12" x14ac:dyDescent="0.35">
      <c r="A18" s="9">
        <v>14</v>
      </c>
      <c r="B18" s="10">
        <v>101055</v>
      </c>
      <c r="C18" s="10">
        <v>101055</v>
      </c>
      <c r="D18" s="11" t="s">
        <v>47</v>
      </c>
      <c r="E18" s="10" t="s">
        <v>14</v>
      </c>
      <c r="F18" s="10" t="s">
        <v>15</v>
      </c>
      <c r="G18" s="10" t="s">
        <v>16</v>
      </c>
      <c r="H18" s="12">
        <v>34474</v>
      </c>
      <c r="I18" s="13">
        <v>31.701369863013699</v>
      </c>
      <c r="J18" s="12">
        <v>44179</v>
      </c>
      <c r="K18" s="10" t="s">
        <v>26</v>
      </c>
      <c r="L18" s="10" t="s">
        <v>21</v>
      </c>
    </row>
    <row r="19" spans="1:12" x14ac:dyDescent="0.35">
      <c r="A19" s="9">
        <v>15</v>
      </c>
      <c r="B19" s="10" t="s">
        <v>48</v>
      </c>
      <c r="C19" s="10">
        <v>10086</v>
      </c>
      <c r="D19" s="11" t="s">
        <v>49</v>
      </c>
      <c r="E19" s="10" t="s">
        <v>14</v>
      </c>
      <c r="F19" s="10" t="s">
        <v>44</v>
      </c>
      <c r="G19" s="10" t="s">
        <v>45</v>
      </c>
      <c r="H19" s="12">
        <v>34049</v>
      </c>
      <c r="I19" s="13">
        <v>32.865753424657534</v>
      </c>
      <c r="J19" s="12">
        <v>44511</v>
      </c>
      <c r="K19" s="10" t="s">
        <v>20</v>
      </c>
      <c r="L19" s="10" t="s">
        <v>50</v>
      </c>
    </row>
    <row r="20" spans="1:12" x14ac:dyDescent="0.35">
      <c r="A20" s="9">
        <v>16</v>
      </c>
      <c r="B20" s="10">
        <v>101287</v>
      </c>
      <c r="C20" s="10">
        <v>101287</v>
      </c>
      <c r="D20" s="11" t="s">
        <v>51</v>
      </c>
      <c r="E20" s="10" t="s">
        <v>14</v>
      </c>
      <c r="F20" s="10" t="s">
        <v>15</v>
      </c>
      <c r="G20" s="10" t="s">
        <v>16</v>
      </c>
      <c r="H20" s="12">
        <v>36729</v>
      </c>
      <c r="I20" s="13">
        <v>25.523287671232875</v>
      </c>
      <c r="J20" s="12">
        <v>44866</v>
      </c>
      <c r="K20" s="10" t="s">
        <v>17</v>
      </c>
      <c r="L20" s="10" t="s">
        <v>52</v>
      </c>
    </row>
    <row r="21" spans="1:12" x14ac:dyDescent="0.35">
      <c r="A21" s="9">
        <v>17</v>
      </c>
      <c r="B21" s="10">
        <v>101326</v>
      </c>
      <c r="C21" s="10">
        <v>101326</v>
      </c>
      <c r="D21" s="11" t="s">
        <v>53</v>
      </c>
      <c r="E21" s="10" t="s">
        <v>14</v>
      </c>
      <c r="F21" s="10" t="s">
        <v>15</v>
      </c>
      <c r="G21" s="10" t="s">
        <v>54</v>
      </c>
      <c r="H21" s="12">
        <v>32462</v>
      </c>
      <c r="I21" s="13">
        <v>37.213698630136989</v>
      </c>
      <c r="J21" s="12">
        <v>44963</v>
      </c>
      <c r="K21" s="10" t="s">
        <v>29</v>
      </c>
      <c r="L21" s="10" t="s">
        <v>27</v>
      </c>
    </row>
    <row r="22" spans="1:12" x14ac:dyDescent="0.35">
      <c r="A22" s="9">
        <v>18</v>
      </c>
      <c r="B22" s="10">
        <v>101406</v>
      </c>
      <c r="C22" s="10">
        <v>101406</v>
      </c>
      <c r="D22" s="11" t="s">
        <v>55</v>
      </c>
      <c r="E22" s="10" t="s">
        <v>14</v>
      </c>
      <c r="F22" s="10" t="s">
        <v>15</v>
      </c>
      <c r="G22" s="10" t="s">
        <v>16</v>
      </c>
      <c r="H22" s="12">
        <v>29221</v>
      </c>
      <c r="I22" s="13">
        <v>46.093150684931508</v>
      </c>
      <c r="J22" s="12">
        <v>45108</v>
      </c>
      <c r="K22" s="10" t="s">
        <v>29</v>
      </c>
      <c r="L22" s="10" t="s">
        <v>56</v>
      </c>
    </row>
    <row r="23" spans="1:12" x14ac:dyDescent="0.35">
      <c r="A23" s="9">
        <v>19</v>
      </c>
      <c r="B23" s="10">
        <v>101407</v>
      </c>
      <c r="C23" s="10">
        <v>101407</v>
      </c>
      <c r="D23" s="11" t="s">
        <v>57</v>
      </c>
      <c r="E23" s="10" t="s">
        <v>14</v>
      </c>
      <c r="F23" s="10" t="s">
        <v>15</v>
      </c>
      <c r="G23" s="10" t="s">
        <v>16</v>
      </c>
      <c r="H23" s="12">
        <v>25215</v>
      </c>
      <c r="I23" s="13">
        <v>57.06849315068493</v>
      </c>
      <c r="J23" s="12">
        <v>45108</v>
      </c>
      <c r="K23" s="10" t="s">
        <v>29</v>
      </c>
      <c r="L23" s="10" t="s">
        <v>56</v>
      </c>
    </row>
    <row r="24" spans="1:12" x14ac:dyDescent="0.35">
      <c r="A24" s="9">
        <v>20</v>
      </c>
      <c r="B24" s="10">
        <v>101448</v>
      </c>
      <c r="C24" s="10">
        <v>101448</v>
      </c>
      <c r="D24" s="11" t="s">
        <v>58</v>
      </c>
      <c r="E24" s="10" t="s">
        <v>14</v>
      </c>
      <c r="F24" s="10" t="s">
        <v>15</v>
      </c>
      <c r="G24" s="10" t="s">
        <v>16</v>
      </c>
      <c r="H24" s="12">
        <v>35258</v>
      </c>
      <c r="I24" s="13">
        <v>29.553424657534247</v>
      </c>
      <c r="J24" s="12">
        <v>45195</v>
      </c>
      <c r="K24" s="10" t="s">
        <v>26</v>
      </c>
      <c r="L24" s="10" t="s">
        <v>24</v>
      </c>
    </row>
    <row r="25" spans="1:12" x14ac:dyDescent="0.35">
      <c r="A25" s="9">
        <v>21</v>
      </c>
      <c r="B25" s="10">
        <v>101546</v>
      </c>
      <c r="C25" s="10">
        <v>101546</v>
      </c>
      <c r="D25" s="11" t="s">
        <v>59</v>
      </c>
      <c r="E25" s="10" t="s">
        <v>14</v>
      </c>
      <c r="F25" s="10" t="s">
        <v>15</v>
      </c>
      <c r="G25" s="10" t="s">
        <v>16</v>
      </c>
      <c r="H25" s="12">
        <v>33395</v>
      </c>
      <c r="I25" s="13">
        <v>34.657534246575345</v>
      </c>
      <c r="J25" s="15">
        <v>45436</v>
      </c>
      <c r="K25" s="10" t="s">
        <v>60</v>
      </c>
      <c r="L25" s="10" t="s">
        <v>56</v>
      </c>
    </row>
    <row r="26" spans="1:12" x14ac:dyDescent="0.35">
      <c r="A26" s="9">
        <v>22</v>
      </c>
      <c r="B26" s="10">
        <v>101592</v>
      </c>
      <c r="C26" s="10">
        <v>101592</v>
      </c>
      <c r="D26" s="11" t="s">
        <v>61</v>
      </c>
      <c r="E26" s="10" t="s">
        <v>14</v>
      </c>
      <c r="F26" s="10" t="s">
        <v>15</v>
      </c>
      <c r="G26" s="10" t="s">
        <v>16</v>
      </c>
      <c r="H26" s="12">
        <v>36739</v>
      </c>
      <c r="I26" s="13">
        <v>25.495890410958904</v>
      </c>
      <c r="J26" s="15">
        <v>45509</v>
      </c>
      <c r="K26" s="10" t="s">
        <v>60</v>
      </c>
      <c r="L26" s="10" t="s">
        <v>56</v>
      </c>
    </row>
    <row r="27" spans="1:12" x14ac:dyDescent="0.35">
      <c r="A27" s="9">
        <v>23</v>
      </c>
      <c r="B27" s="10">
        <v>101610</v>
      </c>
      <c r="C27" s="10">
        <v>101610</v>
      </c>
      <c r="D27" s="16" t="s">
        <v>62</v>
      </c>
      <c r="E27" s="10" t="s">
        <v>14</v>
      </c>
      <c r="F27" s="10" t="s">
        <v>15</v>
      </c>
      <c r="G27" s="17" t="s">
        <v>16</v>
      </c>
      <c r="H27" s="12">
        <v>33636</v>
      </c>
      <c r="I27" s="18">
        <v>33.9972602739726</v>
      </c>
      <c r="J27" s="19">
        <v>45544</v>
      </c>
      <c r="K27" s="10" t="s">
        <v>20</v>
      </c>
      <c r="L27" s="10" t="s">
        <v>63</v>
      </c>
    </row>
    <row r="28" spans="1:12" x14ac:dyDescent="0.35">
      <c r="A28" s="9">
        <v>24</v>
      </c>
      <c r="B28" s="10">
        <v>101622</v>
      </c>
      <c r="C28" s="10">
        <v>101622</v>
      </c>
      <c r="D28" s="11" t="s">
        <v>64</v>
      </c>
      <c r="E28" s="10" t="s">
        <v>14</v>
      </c>
      <c r="F28" s="10" t="s">
        <v>15</v>
      </c>
      <c r="G28" s="10" t="s">
        <v>16</v>
      </c>
      <c r="H28" s="12">
        <v>36085</v>
      </c>
      <c r="I28" s="13">
        <v>27.287671232876711</v>
      </c>
      <c r="J28" s="15">
        <v>45566</v>
      </c>
      <c r="K28" s="10" t="s">
        <v>26</v>
      </c>
      <c r="L28" s="10" t="s">
        <v>27</v>
      </c>
    </row>
    <row r="29" spans="1:12" x14ac:dyDescent="0.35">
      <c r="A29" s="9">
        <v>25</v>
      </c>
      <c r="B29" s="10">
        <v>101634</v>
      </c>
      <c r="C29" s="10">
        <v>101634</v>
      </c>
      <c r="D29" s="11" t="s">
        <v>65</v>
      </c>
      <c r="E29" s="10" t="s">
        <v>14</v>
      </c>
      <c r="F29" s="10" t="s">
        <v>15</v>
      </c>
      <c r="G29" s="10" t="s">
        <v>16</v>
      </c>
      <c r="H29" s="12">
        <v>34978</v>
      </c>
      <c r="I29" s="13">
        <v>30.32054794520548</v>
      </c>
      <c r="J29" s="15">
        <v>45600</v>
      </c>
      <c r="K29" s="10" t="s">
        <v>26</v>
      </c>
      <c r="L29" s="10" t="s">
        <v>32</v>
      </c>
    </row>
    <row r="30" spans="1:12" x14ac:dyDescent="0.35">
      <c r="A30" s="9">
        <v>26</v>
      </c>
      <c r="B30" s="20">
        <v>101700</v>
      </c>
      <c r="C30" s="20">
        <v>101700</v>
      </c>
      <c r="D30" s="21" t="s">
        <v>66</v>
      </c>
      <c r="E30" s="10" t="s">
        <v>14</v>
      </c>
      <c r="F30" s="10" t="s">
        <v>15</v>
      </c>
      <c r="G30" s="17" t="s">
        <v>16</v>
      </c>
      <c r="H30" s="19">
        <v>36014</v>
      </c>
      <c r="I30" s="13">
        <v>27.482191780821918</v>
      </c>
      <c r="J30" s="19">
        <v>45791</v>
      </c>
      <c r="K30" s="10" t="s">
        <v>29</v>
      </c>
      <c r="L30" s="10" t="s">
        <v>56</v>
      </c>
    </row>
    <row r="31" spans="1:12" x14ac:dyDescent="0.35">
      <c r="A31" s="9">
        <v>27</v>
      </c>
      <c r="B31" s="22">
        <v>101703</v>
      </c>
      <c r="C31" s="22">
        <v>101703</v>
      </c>
      <c r="D31" s="23" t="s">
        <v>67</v>
      </c>
      <c r="E31" s="10" t="s">
        <v>14</v>
      </c>
      <c r="F31" s="10" t="s">
        <v>15</v>
      </c>
      <c r="G31" s="17" t="s">
        <v>16</v>
      </c>
      <c r="H31" s="24">
        <v>30483</v>
      </c>
      <c r="I31" s="13">
        <v>42.635616438356166</v>
      </c>
      <c r="J31" s="25">
        <v>45810</v>
      </c>
      <c r="K31" s="26" t="s">
        <v>68</v>
      </c>
      <c r="L31" s="26" t="s">
        <v>69</v>
      </c>
    </row>
    <row r="32" spans="1:12" x14ac:dyDescent="0.35">
      <c r="A32" s="9">
        <v>28</v>
      </c>
      <c r="B32" s="17">
        <v>101726</v>
      </c>
      <c r="C32" s="17">
        <v>101726</v>
      </c>
      <c r="D32" s="21" t="s">
        <v>70</v>
      </c>
      <c r="E32" s="10" t="s">
        <v>14</v>
      </c>
      <c r="F32" s="17" t="s">
        <v>15</v>
      </c>
      <c r="G32" s="17" t="s">
        <v>16</v>
      </c>
      <c r="H32" s="24">
        <v>35395</v>
      </c>
      <c r="I32" s="13">
        <v>29.17808219178082</v>
      </c>
      <c r="J32" s="19">
        <v>45847</v>
      </c>
      <c r="K32" s="17" t="s">
        <v>26</v>
      </c>
      <c r="L32" s="17" t="s">
        <v>24</v>
      </c>
    </row>
    <row r="33" spans="1:12" x14ac:dyDescent="0.35">
      <c r="A33" s="9">
        <v>29</v>
      </c>
      <c r="B33" s="10">
        <v>101571</v>
      </c>
      <c r="C33" s="10">
        <v>101571</v>
      </c>
      <c r="D33" s="27" t="s">
        <v>71</v>
      </c>
      <c r="E33" s="10" t="s">
        <v>72</v>
      </c>
      <c r="F33" s="10" t="s">
        <v>73</v>
      </c>
      <c r="G33" s="10" t="s">
        <v>72</v>
      </c>
      <c r="H33" s="12">
        <v>36124</v>
      </c>
      <c r="I33" s="13">
        <v>27.18082191780822</v>
      </c>
      <c r="J33" s="15">
        <v>45475</v>
      </c>
      <c r="K33" s="10" t="s">
        <v>74</v>
      </c>
      <c r="L33" s="10" t="s">
        <v>75</v>
      </c>
    </row>
    <row r="34" spans="1:12" x14ac:dyDescent="0.35">
      <c r="A34" s="9">
        <v>30</v>
      </c>
      <c r="B34" s="17">
        <v>101766</v>
      </c>
      <c r="C34" s="17">
        <v>101766</v>
      </c>
      <c r="D34" s="21" t="s">
        <v>76</v>
      </c>
      <c r="E34" s="10" t="s">
        <v>14</v>
      </c>
      <c r="F34" s="17" t="s">
        <v>15</v>
      </c>
      <c r="G34" s="17" t="s">
        <v>16</v>
      </c>
      <c r="H34" s="24">
        <v>34883</v>
      </c>
      <c r="I34" s="13">
        <v>30.580821917808219</v>
      </c>
      <c r="J34" s="19">
        <v>45909</v>
      </c>
      <c r="K34" s="28" t="s">
        <v>20</v>
      </c>
      <c r="L34" s="17" t="s">
        <v>24</v>
      </c>
    </row>
    <row r="35" spans="1:12" x14ac:dyDescent="0.35">
      <c r="A35" s="29">
        <v>35</v>
      </c>
      <c r="B35" s="30">
        <v>101849</v>
      </c>
      <c r="C35" s="30">
        <v>101849</v>
      </c>
      <c r="D35" s="30" t="s">
        <v>77</v>
      </c>
      <c r="E35" s="31" t="s">
        <v>14</v>
      </c>
      <c r="F35" s="30" t="s">
        <v>15</v>
      </c>
      <c r="G35" s="30" t="s">
        <v>78</v>
      </c>
      <c r="H35" s="32">
        <v>37209</v>
      </c>
      <c r="I35" s="33">
        <f ca="1">(TODAY()-H35)/365</f>
        <v>24.567123287671233</v>
      </c>
      <c r="J35" s="34">
        <v>46090</v>
      </c>
      <c r="K35" s="35" t="s">
        <v>41</v>
      </c>
      <c r="L35" s="35" t="s">
        <v>79</v>
      </c>
    </row>
    <row r="36" spans="1:12" x14ac:dyDescent="0.35">
      <c r="A36" s="29">
        <v>33</v>
      </c>
      <c r="B36" s="30">
        <v>101805</v>
      </c>
      <c r="C36" s="30">
        <v>101805</v>
      </c>
      <c r="D36" s="30" t="s">
        <v>80</v>
      </c>
      <c r="E36" s="31" t="s">
        <v>14</v>
      </c>
      <c r="F36" s="30" t="s">
        <v>15</v>
      </c>
      <c r="G36" s="30" t="s">
        <v>78</v>
      </c>
      <c r="H36" s="32">
        <v>35867</v>
      </c>
      <c r="I36" s="33">
        <v>27.884931506849316</v>
      </c>
      <c r="J36" s="34">
        <v>45992</v>
      </c>
      <c r="K36" s="31" t="s">
        <v>29</v>
      </c>
      <c r="L36" s="35" t="s">
        <v>81</v>
      </c>
    </row>
    <row r="37" spans="1:12" x14ac:dyDescent="0.35">
      <c r="A37" s="29">
        <v>31</v>
      </c>
      <c r="B37" s="30">
        <v>101786</v>
      </c>
      <c r="C37" s="30">
        <v>101786</v>
      </c>
      <c r="D37" s="30" t="s">
        <v>82</v>
      </c>
      <c r="E37" s="31" t="s">
        <v>14</v>
      </c>
      <c r="F37" s="30" t="s">
        <v>15</v>
      </c>
      <c r="G37" s="36" t="s">
        <v>16</v>
      </c>
      <c r="H37" s="32">
        <v>37530</v>
      </c>
      <c r="I37" s="33">
        <v>23.328767123287673</v>
      </c>
      <c r="J37" s="34">
        <v>45962</v>
      </c>
      <c r="K37" s="30" t="s">
        <v>26</v>
      </c>
      <c r="L37" s="31" t="s">
        <v>46</v>
      </c>
    </row>
    <row r="38" spans="1:12" x14ac:dyDescent="0.35">
      <c r="A38" s="9">
        <v>32</v>
      </c>
      <c r="B38" s="37">
        <v>101798</v>
      </c>
      <c r="C38" s="37">
        <v>101798</v>
      </c>
      <c r="D38" s="38" t="s">
        <v>83</v>
      </c>
      <c r="E38" s="10" t="s">
        <v>14</v>
      </c>
      <c r="F38" s="37" t="s">
        <v>15</v>
      </c>
      <c r="G38" s="17" t="s">
        <v>16</v>
      </c>
      <c r="H38" s="24">
        <v>34110</v>
      </c>
      <c r="I38" s="13">
        <v>32.698630136986303</v>
      </c>
      <c r="J38" s="19">
        <v>45978</v>
      </c>
      <c r="K38" s="10" t="s">
        <v>23</v>
      </c>
      <c r="L38" s="37" t="s">
        <v>63</v>
      </c>
    </row>
    <row r="39" spans="1:12" x14ac:dyDescent="0.35">
      <c r="A39" s="9">
        <v>34</v>
      </c>
      <c r="B39" s="37">
        <v>101819</v>
      </c>
      <c r="C39" s="37">
        <v>101819</v>
      </c>
      <c r="D39" s="38" t="s">
        <v>84</v>
      </c>
      <c r="E39" s="10" t="s">
        <v>14</v>
      </c>
      <c r="F39" s="37" t="s">
        <v>15</v>
      </c>
      <c r="G39" s="37" t="s">
        <v>54</v>
      </c>
      <c r="H39" s="24">
        <v>33069</v>
      </c>
      <c r="I39" s="13">
        <v>35.550684931506851</v>
      </c>
      <c r="J39" s="19">
        <v>46031</v>
      </c>
      <c r="K39" s="37" t="s">
        <v>85</v>
      </c>
      <c r="L39" s="39" t="s">
        <v>86</v>
      </c>
    </row>
    <row r="40" spans="1:12" x14ac:dyDescent="0.35">
      <c r="A40" s="9">
        <v>36</v>
      </c>
      <c r="B40" s="37">
        <v>101872</v>
      </c>
      <c r="C40" s="37">
        <v>101872</v>
      </c>
      <c r="D40" s="38" t="s">
        <v>87</v>
      </c>
      <c r="E40" s="10" t="s">
        <v>14</v>
      </c>
      <c r="F40" s="37" t="s">
        <v>15</v>
      </c>
      <c r="G40" s="37" t="s">
        <v>14</v>
      </c>
      <c r="H40" s="24">
        <v>27956</v>
      </c>
      <c r="I40" s="13">
        <f t="shared" ref="I40:I41" ca="1" si="0">(TODAY()-H40)/365</f>
        <v>49.917808219178085</v>
      </c>
      <c r="J40" s="19">
        <v>46134</v>
      </c>
      <c r="K40" s="39" t="s">
        <v>20</v>
      </c>
      <c r="L40" s="39" t="s">
        <v>32</v>
      </c>
    </row>
    <row r="41" spans="1:12" x14ac:dyDescent="0.35">
      <c r="A41" s="9">
        <v>37</v>
      </c>
      <c r="B41" s="37">
        <v>101874</v>
      </c>
      <c r="C41" s="37">
        <v>101874</v>
      </c>
      <c r="D41" s="38" t="s">
        <v>88</v>
      </c>
      <c r="E41" s="10" t="s">
        <v>14</v>
      </c>
      <c r="F41" s="37" t="s">
        <v>15</v>
      </c>
      <c r="G41" s="37" t="s">
        <v>89</v>
      </c>
      <c r="H41" s="24">
        <v>32824</v>
      </c>
      <c r="I41" s="13">
        <f t="shared" ca="1" si="0"/>
        <v>36.580821917808223</v>
      </c>
      <c r="J41" s="19">
        <v>46136</v>
      </c>
      <c r="K41" s="39" t="s">
        <v>90</v>
      </c>
      <c r="L41" s="39" t="s">
        <v>32</v>
      </c>
    </row>
    <row r="48" spans="1:12" x14ac:dyDescent="0.35">
      <c r="A48" s="9">
        <f>A35+1</f>
        <v>36</v>
      </c>
      <c r="B48" s="37">
        <v>101869</v>
      </c>
      <c r="C48" s="37">
        <v>101869</v>
      </c>
      <c r="D48" s="38" t="s">
        <v>91</v>
      </c>
      <c r="E48" s="10" t="s">
        <v>92</v>
      </c>
      <c r="F48" s="37" t="s">
        <v>15</v>
      </c>
      <c r="G48" s="37" t="s">
        <v>93</v>
      </c>
      <c r="H48" s="24">
        <v>34564</v>
      </c>
      <c r="I48" s="13">
        <f ca="1">(TODAY()-H48)/365</f>
        <v>31.813698630136987</v>
      </c>
      <c r="J48" s="19">
        <v>46132</v>
      </c>
      <c r="K48" s="39" t="s">
        <v>20</v>
      </c>
      <c r="L48" s="39" t="s">
        <v>27</v>
      </c>
    </row>
  </sheetData>
  <conditionalFormatting sqref="B32">
    <cfRule type="duplicateValues" dxfId="21" priority="14"/>
  </conditionalFormatting>
  <conditionalFormatting sqref="B33">
    <cfRule type="duplicateValues" dxfId="20" priority="1"/>
  </conditionalFormatting>
  <conditionalFormatting sqref="B34">
    <cfRule type="duplicateValues" dxfId="19" priority="13"/>
  </conditionalFormatting>
  <conditionalFormatting sqref="B35">
    <cfRule type="duplicateValues" dxfId="18" priority="7"/>
  </conditionalFormatting>
  <conditionalFormatting sqref="B36">
    <cfRule type="duplicateValues" dxfId="17" priority="20"/>
  </conditionalFormatting>
  <conditionalFormatting sqref="B37">
    <cfRule type="duplicateValues" dxfId="16" priority="12"/>
  </conditionalFormatting>
  <conditionalFormatting sqref="B38">
    <cfRule type="duplicateValues" dxfId="15" priority="11"/>
  </conditionalFormatting>
  <conditionalFormatting sqref="B39">
    <cfRule type="duplicateValues" dxfId="14" priority="9"/>
  </conditionalFormatting>
  <conditionalFormatting sqref="B40">
    <cfRule type="duplicateValues" dxfId="13" priority="5"/>
  </conditionalFormatting>
  <conditionalFormatting sqref="B41">
    <cfRule type="duplicateValues" dxfId="12" priority="3"/>
  </conditionalFormatting>
  <conditionalFormatting sqref="C33">
    <cfRule type="duplicateValues" dxfId="11" priority="2"/>
  </conditionalFormatting>
  <conditionalFormatting sqref="C35">
    <cfRule type="duplicateValues" dxfId="10" priority="8"/>
  </conditionalFormatting>
  <conditionalFormatting sqref="C36">
    <cfRule type="duplicateValues" dxfId="9" priority="21"/>
  </conditionalFormatting>
  <conditionalFormatting sqref="C39">
    <cfRule type="duplicateValues" dxfId="8" priority="10"/>
  </conditionalFormatting>
  <conditionalFormatting sqref="C40">
    <cfRule type="duplicateValues" dxfId="7" priority="6"/>
  </conditionalFormatting>
  <conditionalFormatting sqref="C41">
    <cfRule type="duplicateValues" dxfId="6" priority="4"/>
  </conditionalFormatting>
  <conditionalFormatting sqref="B48">
    <cfRule type="duplicateValues" dxfId="5" priority="24"/>
  </conditionalFormatting>
  <conditionalFormatting sqref="B31">
    <cfRule type="duplicateValues" dxfId="4" priority="25"/>
  </conditionalFormatting>
  <conditionalFormatting sqref="C48">
    <cfRule type="duplicateValues" dxfId="3" priority="27"/>
  </conditionalFormatting>
  <conditionalFormatting sqref="C31">
    <cfRule type="duplicateValues" dxfId="2" priority="28"/>
  </conditionalFormatting>
  <conditionalFormatting sqref="B5:B29">
    <cfRule type="duplicateValues" dxfId="1" priority="29"/>
  </conditionalFormatting>
  <conditionalFormatting sqref="C37:C38 C34 C32 C4:C29">
    <cfRule type="duplicateValues" dxfId="0" priority="3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Samiya Khan</dc:creator>
  <cp:lastModifiedBy>Samiya Khan</cp:lastModifiedBy>
  <dcterms:created xsi:type="dcterms:W3CDTF">2015-06-05T18:17:20Z</dcterms:created>
  <dcterms:modified xsi:type="dcterms:W3CDTF">2026-06-03T08:41:38Z</dcterms:modified>
</cp:coreProperties>
</file>