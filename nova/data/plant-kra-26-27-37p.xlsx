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amiya Khan\Desktop\Recrut 2024\KRA KPI -2026-2027 Final\Plant 37- 26-27 unit\"/>
    </mc:Choice>
  </mc:AlternateContent>
  <xr:revisionPtr revIDLastSave="0" documentId="13_ncr:1_{B30B96F5-202E-43FE-AE66-208380410BC9}" xr6:coauthVersionLast="47" xr6:coauthVersionMax="47" xr10:uidLastSave="{00000000-0000-0000-0000-000000000000}"/>
  <bookViews>
    <workbookView xWindow="-110" yWindow="-110" windowWidth="19420" windowHeight="10300" tabRatio="876" activeTab="1" xr2:uid="{00000000-000D-0000-FFFF-FFFF00000000}"/>
  </bookViews>
  <sheets>
    <sheet name="Rating scale " sheetId="2" r:id="rId1"/>
    <sheet name="KRA  KPI -26-27" sheetId="1" r:id="rId2"/>
    <sheet name="KRA KPI Prod -26-27 " sheetId="3" r:id="rId3"/>
    <sheet name="KRA KPI QA -26-27  (2)" sheetId="4" r:id="rId4"/>
    <sheet name="KRA KPI Maint -26-27  (3)" sheetId="5" r:id="rId5"/>
    <sheet name="KRA KPI HR -26-27  (4)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4" l="1"/>
  <c r="O7" i="1"/>
  <c r="Q7" i="1" s="1"/>
  <c r="K5" i="1"/>
  <c r="O5" i="1" s="1"/>
  <c r="P10" i="7"/>
  <c r="Q10" i="7" s="1"/>
  <c r="O10" i="7"/>
  <c r="P9" i="7"/>
  <c r="Q9" i="7" s="1"/>
  <c r="O9" i="7"/>
  <c r="P8" i="7"/>
  <c r="Q8" i="7" s="1"/>
  <c r="O8" i="7"/>
  <c r="P7" i="7"/>
  <c r="Q7" i="7" s="1"/>
  <c r="O7" i="7"/>
  <c r="P6" i="7"/>
  <c r="Q6" i="7" s="1"/>
  <c r="O6" i="7"/>
  <c r="P5" i="7"/>
  <c r="Q5" i="7" s="1"/>
  <c r="O5" i="7"/>
  <c r="P4" i="7"/>
  <c r="Q4" i="7" s="1"/>
  <c r="O4" i="7"/>
  <c r="P10" i="5"/>
  <c r="Q10" i="5" s="1"/>
  <c r="O10" i="5"/>
  <c r="P9" i="5"/>
  <c r="Q9" i="5" s="1"/>
  <c r="O9" i="5"/>
  <c r="P8" i="5"/>
  <c r="Q8" i="5" s="1"/>
  <c r="O8" i="5"/>
  <c r="P7" i="5"/>
  <c r="Q7" i="5" s="1"/>
  <c r="O7" i="5"/>
  <c r="P6" i="5"/>
  <c r="Q6" i="5" s="1"/>
  <c r="O6" i="5"/>
  <c r="P5" i="5"/>
  <c r="Q5" i="5" s="1"/>
  <c r="O5" i="5"/>
  <c r="Q4" i="5"/>
  <c r="P4" i="5"/>
  <c r="P10" i="4"/>
  <c r="Q10" i="4" s="1"/>
  <c r="P9" i="4"/>
  <c r="Q9" i="4" s="1"/>
  <c r="P8" i="4"/>
  <c r="Q8" i="4" s="1"/>
  <c r="P7" i="4"/>
  <c r="Q7" i="4" s="1"/>
  <c r="P6" i="4"/>
  <c r="Q6" i="4" s="1"/>
  <c r="P5" i="4"/>
  <c r="Q5" i="4" s="1"/>
  <c r="Q4" i="4"/>
  <c r="P4" i="4"/>
  <c r="O4" i="4"/>
  <c r="P5" i="1"/>
  <c r="Q5" i="1" s="1"/>
  <c r="D17" i="7"/>
  <c r="K16" i="7"/>
  <c r="L16" i="7" s="1"/>
  <c r="K13" i="7"/>
  <c r="L13" i="7" s="1"/>
  <c r="D11" i="5"/>
  <c r="D11" i="4"/>
  <c r="O10" i="4"/>
  <c r="O9" i="4"/>
  <c r="O8" i="4"/>
  <c r="O7" i="4"/>
  <c r="O5" i="4"/>
  <c r="D12" i="3"/>
  <c r="P11" i="3"/>
  <c r="Q11" i="3" s="1"/>
  <c r="P10" i="3"/>
  <c r="Q10" i="3" s="1"/>
  <c r="P9" i="3"/>
  <c r="Q9" i="3" s="1"/>
  <c r="P8" i="3"/>
  <c r="Q8" i="3" s="1"/>
  <c r="P7" i="3"/>
  <c r="Q7" i="3" s="1"/>
  <c r="P6" i="3"/>
  <c r="Q6" i="3" s="1"/>
  <c r="P5" i="3"/>
  <c r="Q5" i="3" s="1"/>
  <c r="P4" i="3"/>
  <c r="Q4" i="3" s="1"/>
  <c r="Q11" i="1"/>
  <c r="Q10" i="1"/>
  <c r="Q9" i="1"/>
  <c r="Q8" i="1"/>
  <c r="O6" i="1"/>
  <c r="Q6" i="1" s="1"/>
  <c r="D13" i="1"/>
  <c r="Q11" i="4" l="1"/>
  <c r="L17" i="7"/>
  <c r="P11" i="5"/>
  <c r="Q12" i="3"/>
</calcChain>
</file>

<file path=xl/sharedStrings.xml><?xml version="1.0" encoding="utf-8"?>
<sst xmlns="http://schemas.openxmlformats.org/spreadsheetml/2006/main" count="269" uniqueCount="136">
  <si>
    <t>Sno</t>
  </si>
  <si>
    <t>Current Year Target -26-27</t>
  </si>
  <si>
    <t>Last Year Achived -2025-2026</t>
  </si>
  <si>
    <t>Q1</t>
  </si>
  <si>
    <t>Q2</t>
  </si>
  <si>
    <t>Q3</t>
  </si>
  <si>
    <t>Q4</t>
  </si>
  <si>
    <t>Sales Target (₹ Cr)</t>
  </si>
  <si>
    <t>Delivery Adherence (%)</t>
  </si>
  <si>
    <t>Quality (PPM / Rejection %)</t>
  </si>
  <si>
    <t xml:space="preserve">Safety :Lost time Injury, Zero Accident </t>
  </si>
  <si>
    <t>Primary: KRA</t>
  </si>
  <si>
    <t>KPI / Measurement</t>
  </si>
  <si>
    <t>Revenue vs Budget</t>
  </si>
  <si>
    <t>On-Time Delivery (OTD %)</t>
  </si>
  <si>
    <t>Customer PPM / Rejection %</t>
  </si>
  <si>
    <t>Inventory Turns / Days</t>
  </si>
  <si>
    <t>EBITDA %</t>
  </si>
  <si>
    <t>Profitability</t>
  </si>
  <si>
    <t>Operational Excellence (5S)</t>
  </si>
  <si>
    <t>5S Audit Score</t>
  </si>
  <si>
    <t xml:space="preserve">New Product Development </t>
  </si>
  <si>
    <t>No. of Successful SOPs</t>
  </si>
  <si>
    <t>Lost Time Injury (LTI)</t>
  </si>
  <si>
    <t>Weightage (%)</t>
  </si>
  <si>
    <t xml:space="preserve">Total achived </t>
  </si>
  <si>
    <t>SCORE</t>
  </si>
  <si>
    <t>Rating</t>
  </si>
  <si>
    <t>Category</t>
  </si>
  <si>
    <t>Meaning</t>
  </si>
  <si>
    <t>A+</t>
  </si>
  <si>
    <t>Outstanding</t>
  </si>
  <si>
    <t>Exceptional performance; far exceeds all KPIs; role model</t>
  </si>
  <si>
    <t>A</t>
  </si>
  <si>
    <t>Excellent</t>
  </si>
  <si>
    <t>Exceeds targets consistently; strong contributor</t>
  </si>
  <si>
    <t>B+</t>
  </si>
  <si>
    <t>Good</t>
  </si>
  <si>
    <t>Meets targets with some above-average contributions</t>
  </si>
  <si>
    <t>B</t>
  </si>
  <si>
    <t>Average</t>
  </si>
  <si>
    <t>Meets basic expectations; scope for improvement</t>
  </si>
  <si>
    <t>C</t>
  </si>
  <si>
    <t>Below Average</t>
  </si>
  <si>
    <t>Misses key targets; needs improvement plan</t>
  </si>
  <si>
    <t>D</t>
  </si>
  <si>
    <t>Poor</t>
  </si>
  <si>
    <t>Consistently underperforms; immediate action required</t>
  </si>
  <si>
    <t>Rating Scale Definition</t>
  </si>
  <si>
    <t>Inventory (Turns / Days)</t>
  </si>
  <si>
    <t>Plan vs Actual</t>
  </si>
  <si>
    <t>OTD</t>
  </si>
  <si>
    <t>Customer Delivery (%)</t>
  </si>
  <si>
    <t>Production Achievement (%)</t>
  </si>
  <si>
    <t>Productivity</t>
  </si>
  <si>
    <t>OEE Improvement</t>
  </si>
  <si>
    <t>Customer PPM (Parts Per Million)</t>
  </si>
  <si>
    <t>Customer Complaint Management</t>
  </si>
  <si>
    <t>Ensure zero-defect quality and customer satisfaction</t>
  </si>
  <si>
    <t>Complaint closure TAT (Turnaround Time)</t>
  </si>
  <si>
    <t>Repeat complaints (%)</t>
  </si>
  <si>
    <t>Process Quality &amp; Control</t>
  </si>
  <si>
    <t>In-process rejection (%)</t>
  </si>
  <si>
    <t>Audit &amp; Compliance</t>
  </si>
  <si>
    <t xml:space="preserve">Zero major NC in external audits, 100% Closure with in Timeline </t>
  </si>
  <si>
    <t>MTTR (Mean Time to Repair)</t>
  </si>
  <si>
    <t>Strong IR Environment</t>
  </si>
  <si>
    <t>Zero strikes / disruptions</t>
  </si>
  <si>
    <t>Grievance Redressal</t>
  </si>
  <si>
    <t xml:space="preserve">System and Quick closer of Grievance Redressal </t>
  </si>
  <si>
    <t>Training &amp; Development</t>
  </si>
  <si>
    <t>Training plan vs actual (%) → ≥ 90% completion</t>
  </si>
  <si>
    <t>Manpower Planning &amp; Cost Control</t>
  </si>
  <si>
    <t xml:space="preserve">Manpower vs Budget (%), CTC V/s Sales </t>
  </si>
  <si>
    <t xml:space="preserve">Attrition &amp; Retention </t>
  </si>
  <si>
    <t xml:space="preserve">Level wise Skill Up </t>
  </si>
  <si>
    <t>Training Documentation</t>
  </si>
  <si>
    <t>Man-days lost → Target: 0</t>
  </si>
  <si>
    <t>Disciplinary cases closure → ≤ 7 days</t>
  </si>
  <si>
    <t>Legal compliance adherence → 100%</t>
  </si>
  <si>
    <t>Performance Management System</t>
  </si>
  <si>
    <t>PMS completion rate → 100%</t>
  </si>
  <si>
    <t>Statutory Compliance</t>
  </si>
  <si>
    <t>Statutory returns filing → 100% on time,Audit observations → Zero major non-compliance,Contractor compliance → 100%,License renewals → 100% on time</t>
  </si>
  <si>
    <t>Employee Engagement &amp; Welfare</t>
  </si>
  <si>
    <t xml:space="preserve">20 PPM, </t>
  </si>
  <si>
    <t xml:space="preserve">20 Days </t>
  </si>
  <si>
    <t>Haridwar CII, 24 , Gujarat , Manesar</t>
  </si>
  <si>
    <t>7crs</t>
  </si>
  <si>
    <t>Zero</t>
  </si>
  <si>
    <t xml:space="preserve">No A Rank Quality Problem </t>
  </si>
  <si>
    <t>50% Less than last year</t>
  </si>
  <si>
    <t xml:space="preserve">3 days </t>
  </si>
  <si>
    <t>zero</t>
  </si>
  <si>
    <t>Strengthening Preventive Maintenance. Schedule adherence to be &gt;98% on time.</t>
  </si>
  <si>
    <t xml:space="preserve">MTTR </t>
  </si>
  <si>
    <t xml:space="preserve">30 mins </t>
  </si>
  <si>
    <t>MTBF</t>
  </si>
  <si>
    <t>Mean Time Between Failour</t>
  </si>
  <si>
    <t>Spare Part Cost</t>
  </si>
  <si>
    <t xml:space="preserve">All Machines </t>
  </si>
  <si>
    <t>Over all Maintenance Cost Reduction</t>
  </si>
  <si>
    <t>30% less than last year</t>
  </si>
  <si>
    <t>Less than 5.25%</t>
  </si>
  <si>
    <t xml:space="preserve">three Days </t>
  </si>
  <si>
    <t xml:space="preserve">Blue Collar:  Sales V/s wage Cost </t>
  </si>
  <si>
    <t>less than 8.2%</t>
  </si>
  <si>
    <t>&lt;6%</t>
  </si>
  <si>
    <t xml:space="preserve">attrition (%) </t>
  </si>
  <si>
    <t xml:space="preserve">Engagement activities conducted,Suggestion scheme participation : </t>
  </si>
  <si>
    <t>Make Calender &amp; Follow 100%</t>
  </si>
  <si>
    <t>Target</t>
  </si>
  <si>
    <t xml:space="preserve">Achieved </t>
  </si>
  <si>
    <t>Total Target</t>
  </si>
  <si>
    <t>150.18 cr</t>
  </si>
  <si>
    <t>KRA/ KPI-2026-2027- 37P  UNIT</t>
  </si>
  <si>
    <t>KRA/ KPI-2026-2027-37P- Production</t>
  </si>
  <si>
    <t>KRA/ KPI-2026-2027-Quality  37P  - Production</t>
  </si>
  <si>
    <t>KRA/ KPI-2026-2027-Maintenance-37P</t>
  </si>
  <si>
    <t xml:space="preserve">KRA/ KPI-2026-2027- Plant HR 37P </t>
  </si>
  <si>
    <t xml:space="preserve">Less than 10% </t>
  </si>
  <si>
    <t>&gt;9%</t>
  </si>
  <si>
    <t>&gt;8%</t>
  </si>
  <si>
    <t>&gt;7%</t>
  </si>
  <si>
    <t xml:space="preserve">7 days </t>
  </si>
  <si>
    <t>7Days</t>
  </si>
  <si>
    <t xml:space="preserve"> Plant Rejection %</t>
  </si>
  <si>
    <t>Quality (Plant Rejection %)</t>
  </si>
  <si>
    <t xml:space="preserve">Operational Excellence </t>
  </si>
  <si>
    <t>5S</t>
  </si>
  <si>
    <t>Number of customer complaints : Less Than 50% of of last year</t>
  </si>
  <si>
    <t>&gt; 50% all Customer</t>
  </si>
  <si>
    <t xml:space="preserve"> Line Stoppage</t>
  </si>
  <si>
    <t>270Days</t>
  </si>
  <si>
    <t>60% less than last year</t>
  </si>
  <si>
    <t>Implment TPM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</si>
</sst>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color theme="0"/>
      <name val="Calibri"/>
      <family val="2"/>
      <scheme val="minor"/>
    </font>
    <font>
      <sz val="28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vertical="center" wrapText="1"/>
    </xf>
    <xf numFmtId="9" fontId="1" fillId="0" borderId="1" xfId="0" applyNumberFormat="1" applyFont="1" applyBorder="1" applyAlignment="1">
      <alignment horizontal="center" vertical="center"/>
    </xf>
    <xf numFmtId="0" fontId="2" fillId="0" borderId="0" xfId="0" applyFont="1"/>
    <xf numFmtId="9" fontId="2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9" fontId="1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9" fontId="0" fillId="0" borderId="1" xfId="0" applyNumberFormat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9" fontId="0" fillId="0" borderId="37" xfId="0" applyNumberForma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9" fontId="1" fillId="0" borderId="30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9" fontId="1" fillId="0" borderId="32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vertical="center" wrapText="1"/>
    </xf>
    <xf numFmtId="0" fontId="1" fillId="0" borderId="24" xfId="0" applyFont="1" applyBorder="1" applyAlignment="1">
      <alignment vertical="center"/>
    </xf>
    <xf numFmtId="9" fontId="1" fillId="0" borderId="25" xfId="0" applyNumberFormat="1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9" fontId="0" fillId="0" borderId="23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9" fontId="1" fillId="0" borderId="28" xfId="0" applyNumberFormat="1" applyFont="1" applyBorder="1" applyAlignment="1">
      <alignment horizontal="center" vertical="center"/>
    </xf>
    <xf numFmtId="9" fontId="1" fillId="0" borderId="11" xfId="0" applyNumberFormat="1" applyFont="1" applyBorder="1" applyAlignment="1">
      <alignment horizontal="center" vertical="center"/>
    </xf>
    <xf numFmtId="0" fontId="0" fillId="0" borderId="34" xfId="0" applyBorder="1"/>
    <xf numFmtId="0" fontId="0" fillId="0" borderId="37" xfId="0" applyBorder="1"/>
    <xf numFmtId="0" fontId="0" fillId="0" borderId="35" xfId="0" applyBorder="1" applyAlignment="1">
      <alignment wrapText="1"/>
    </xf>
    <xf numFmtId="0" fontId="0" fillId="4" borderId="0" xfId="0" applyFill="1"/>
    <xf numFmtId="0" fontId="6" fillId="4" borderId="0" xfId="0" applyFont="1" applyFill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2" fontId="0" fillId="0" borderId="29" xfId="0" applyNumberFormat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10" fontId="0" fillId="5" borderId="37" xfId="0" applyNumberFormat="1" applyFill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164" fontId="0" fillId="0" borderId="11" xfId="0" applyNumberFormat="1" applyBorder="1" applyAlignment="1">
      <alignment horizontal="center" vertical="center"/>
    </xf>
    <xf numFmtId="9" fontId="0" fillId="0" borderId="11" xfId="0" applyNumberFormat="1" applyBorder="1" applyAlignment="1">
      <alignment horizontal="center" vertical="center"/>
    </xf>
    <xf numFmtId="165" fontId="0" fillId="5" borderId="37" xfId="0" applyNumberFormat="1" applyFill="1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37" xfId="0" applyBorder="1" applyAlignment="1">
      <alignment wrapText="1"/>
    </xf>
    <xf numFmtId="0" fontId="0" fillId="0" borderId="1" xfId="0" applyBorder="1" applyAlignment="1">
      <alignment horizontal="left"/>
    </xf>
    <xf numFmtId="0" fontId="7" fillId="4" borderId="18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 wrapText="1"/>
    </xf>
    <xf numFmtId="0" fontId="1" fillId="6" borderId="35" xfId="0" applyFont="1" applyFill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809B8-8F30-43A4-817E-9F5D4AE1C2C5}">
  <dimension ref="A1:D8"/>
  <sheetViews>
    <sheetView workbookViewId="0">
      <selection activeCell="C5" sqref="C5"/>
    </sheetView>
  </sheetViews>
  <sheetFormatPr defaultRowHeight="14.5" x14ac:dyDescent="0.35"/>
  <cols>
    <col min="1" max="1" width="8.7265625" style="1"/>
    <col min="2" max="2" width="24" customWidth="1"/>
    <col min="3" max="4" width="77.1796875" customWidth="1"/>
  </cols>
  <sheetData>
    <row r="1" spans="1:4" ht="28" customHeight="1" x14ac:dyDescent="0.35">
      <c r="A1" s="108" t="s">
        <v>48</v>
      </c>
      <c r="B1" s="109"/>
      <c r="C1" s="110"/>
    </row>
    <row r="2" spans="1:4" ht="28" customHeight="1" x14ac:dyDescent="0.35">
      <c r="A2" s="31" t="s">
        <v>27</v>
      </c>
      <c r="B2" s="31" t="s">
        <v>28</v>
      </c>
      <c r="C2" s="31" t="s">
        <v>29</v>
      </c>
      <c r="D2" s="2"/>
    </row>
    <row r="3" spans="1:4" ht="28" customHeight="1" x14ac:dyDescent="0.35">
      <c r="A3" s="31" t="s">
        <v>30</v>
      </c>
      <c r="B3" s="32" t="s">
        <v>31</v>
      </c>
      <c r="C3" s="32" t="s">
        <v>32</v>
      </c>
      <c r="D3" s="2"/>
    </row>
    <row r="4" spans="1:4" ht="28" customHeight="1" x14ac:dyDescent="0.35">
      <c r="A4" s="31" t="s">
        <v>33</v>
      </c>
      <c r="B4" s="32" t="s">
        <v>34</v>
      </c>
      <c r="C4" s="32" t="s">
        <v>35</v>
      </c>
      <c r="D4" s="2"/>
    </row>
    <row r="5" spans="1:4" ht="28" customHeight="1" x14ac:dyDescent="0.35">
      <c r="A5" s="31" t="s">
        <v>36</v>
      </c>
      <c r="B5" s="32" t="s">
        <v>37</v>
      </c>
      <c r="C5" s="32" t="s">
        <v>38</v>
      </c>
      <c r="D5" s="2"/>
    </row>
    <row r="6" spans="1:4" ht="28" customHeight="1" x14ac:dyDescent="0.35">
      <c r="A6" s="31" t="s">
        <v>39</v>
      </c>
      <c r="B6" s="32" t="s">
        <v>40</v>
      </c>
      <c r="C6" s="32" t="s">
        <v>41</v>
      </c>
      <c r="D6" s="2"/>
    </row>
    <row r="7" spans="1:4" ht="28" customHeight="1" x14ac:dyDescent="0.35">
      <c r="A7" s="31" t="s">
        <v>42</v>
      </c>
      <c r="B7" s="32" t="s">
        <v>43</v>
      </c>
      <c r="C7" s="32" t="s">
        <v>44</v>
      </c>
      <c r="D7" s="2"/>
    </row>
    <row r="8" spans="1:4" ht="28" customHeight="1" x14ac:dyDescent="0.35">
      <c r="A8" s="31" t="s">
        <v>45</v>
      </c>
      <c r="B8" s="32" t="s">
        <v>46</v>
      </c>
      <c r="C8" s="32" t="s">
        <v>47</v>
      </c>
      <c r="D8" s="2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topLeftCell="C1" zoomScale="90" zoomScaleNormal="90" workbookViewId="0">
      <selection activeCell="G11" sqref="G11"/>
    </sheetView>
  </sheetViews>
  <sheetFormatPr defaultRowHeight="15.5" x14ac:dyDescent="0.35"/>
  <cols>
    <col min="1" max="1" width="6.08984375" style="1" customWidth="1"/>
    <col min="2" max="2" width="26.81640625" style="6" customWidth="1"/>
    <col min="3" max="3" width="25.1796875" style="6" customWidth="1"/>
    <col min="4" max="4" width="11.81640625" style="8" hidden="1" customWidth="1"/>
    <col min="5" max="5" width="10.26953125" style="1" customWidth="1"/>
    <col min="6" max="7" width="13.81640625" style="1" customWidth="1"/>
    <col min="8" max="17" width="9.81640625" style="1" customWidth="1"/>
    <col min="18" max="18" width="2.08984375" customWidth="1"/>
  </cols>
  <sheetData>
    <row r="1" spans="1:19" ht="16" thickBot="1" x14ac:dyDescent="0.4"/>
    <row r="2" spans="1:19" s="81" customFormat="1" ht="26" customHeight="1" thickBot="1" x14ac:dyDescent="0.4">
      <c r="A2" s="100" t="s">
        <v>115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2"/>
      <c r="Q2" s="103"/>
    </row>
    <row r="3" spans="1:19" s="15" customFormat="1" ht="22.5" customHeight="1" x14ac:dyDescent="0.35">
      <c r="A3" s="151" t="s">
        <v>0</v>
      </c>
      <c r="B3" s="152" t="s">
        <v>11</v>
      </c>
      <c r="C3" s="152" t="s">
        <v>12</v>
      </c>
      <c r="D3" s="153" t="s">
        <v>24</v>
      </c>
      <c r="E3" s="154" t="s">
        <v>2</v>
      </c>
      <c r="F3" s="154" t="s">
        <v>1</v>
      </c>
      <c r="G3" s="151" t="s">
        <v>3</v>
      </c>
      <c r="H3" s="155"/>
      <c r="I3" s="151" t="s">
        <v>4</v>
      </c>
      <c r="J3" s="155"/>
      <c r="K3" s="151" t="s">
        <v>5</v>
      </c>
      <c r="L3" s="155"/>
      <c r="M3" s="151" t="s">
        <v>6</v>
      </c>
      <c r="N3" s="155"/>
      <c r="O3" s="156" t="s">
        <v>113</v>
      </c>
      <c r="P3" s="156" t="s">
        <v>25</v>
      </c>
      <c r="Q3" s="157" t="s">
        <v>26</v>
      </c>
    </row>
    <row r="4" spans="1:19" s="15" customFormat="1" ht="29.5" customHeight="1" thickBot="1" x14ac:dyDescent="0.4">
      <c r="A4" s="158"/>
      <c r="B4" s="159"/>
      <c r="C4" s="159"/>
      <c r="D4" s="160"/>
      <c r="E4" s="161"/>
      <c r="F4" s="161"/>
      <c r="G4" s="162" t="s">
        <v>111</v>
      </c>
      <c r="H4" s="163" t="s">
        <v>112</v>
      </c>
      <c r="I4" s="162" t="s">
        <v>111</v>
      </c>
      <c r="J4" s="163" t="s">
        <v>112</v>
      </c>
      <c r="K4" s="162" t="s">
        <v>111</v>
      </c>
      <c r="L4" s="163" t="s">
        <v>112</v>
      </c>
      <c r="M4" s="162" t="s">
        <v>111</v>
      </c>
      <c r="N4" s="163" t="s">
        <v>112</v>
      </c>
      <c r="O4" s="164"/>
      <c r="P4" s="164"/>
      <c r="Q4" s="165"/>
    </row>
    <row r="5" spans="1:19" s="2" customFormat="1" ht="30" customHeight="1" x14ac:dyDescent="0.35">
      <c r="A5" s="59">
        <v>1</v>
      </c>
      <c r="B5" s="17" t="s">
        <v>7</v>
      </c>
      <c r="C5" s="18" t="s">
        <v>13</v>
      </c>
      <c r="D5" s="60">
        <v>0.2</v>
      </c>
      <c r="E5" s="55"/>
      <c r="F5" s="55" t="s">
        <v>114</v>
      </c>
      <c r="G5" s="89">
        <v>27.29</v>
      </c>
      <c r="H5" s="90"/>
      <c r="I5" s="89">
        <v>35.369999999999997</v>
      </c>
      <c r="J5" s="90">
        <v>0</v>
      </c>
      <c r="K5" s="89">
        <f>40.21+1.95</f>
        <v>42.160000000000004</v>
      </c>
      <c r="L5" s="90">
        <v>0</v>
      </c>
      <c r="M5" s="89">
        <v>45.36</v>
      </c>
      <c r="N5" s="49">
        <v>0</v>
      </c>
      <c r="O5" s="92">
        <f>G5+I5+K5+M5</f>
        <v>150.18</v>
      </c>
      <c r="P5" s="47">
        <f>H5+J5+L5+N5</f>
        <v>0</v>
      </c>
      <c r="Q5" s="20">
        <f>P5*D5</f>
        <v>0</v>
      </c>
      <c r="S5" s="93"/>
    </row>
    <row r="6" spans="1:19" s="2" customFormat="1" ht="30" customHeight="1" x14ac:dyDescent="0.35">
      <c r="A6" s="61">
        <v>2</v>
      </c>
      <c r="B6" s="7" t="s">
        <v>8</v>
      </c>
      <c r="C6" s="4" t="s">
        <v>14</v>
      </c>
      <c r="D6" s="62">
        <v>0.1</v>
      </c>
      <c r="E6" s="56"/>
      <c r="F6" s="58">
        <v>1</v>
      </c>
      <c r="G6" s="50">
        <v>0.95</v>
      </c>
      <c r="H6" s="51">
        <v>0</v>
      </c>
      <c r="I6" s="50">
        <v>0.97</v>
      </c>
      <c r="J6" s="51">
        <v>0</v>
      </c>
      <c r="K6" s="50">
        <v>0.98</v>
      </c>
      <c r="L6" s="51">
        <v>0</v>
      </c>
      <c r="M6" s="52">
        <v>98</v>
      </c>
      <c r="N6" s="51">
        <v>0</v>
      </c>
      <c r="O6" s="48">
        <f t="shared" ref="O6" si="0">SUM(H6:N6)</f>
        <v>99.95</v>
      </c>
      <c r="P6" s="48"/>
      <c r="Q6" s="5">
        <f t="shared" ref="Q6:Q11" si="1">O6*D6</f>
        <v>9.995000000000001</v>
      </c>
    </row>
    <row r="7" spans="1:19" s="2" customFormat="1" ht="30" customHeight="1" x14ac:dyDescent="0.35">
      <c r="A7" s="61">
        <v>3</v>
      </c>
      <c r="B7" s="7" t="s">
        <v>127</v>
      </c>
      <c r="C7" s="4" t="s">
        <v>126</v>
      </c>
      <c r="D7" s="62">
        <v>0.15</v>
      </c>
      <c r="E7" s="56"/>
      <c r="F7" s="56" t="s">
        <v>120</v>
      </c>
      <c r="G7" s="52" t="s">
        <v>121</v>
      </c>
      <c r="H7" s="51">
        <v>0</v>
      </c>
      <c r="I7" s="52" t="s">
        <v>121</v>
      </c>
      <c r="J7" s="51">
        <v>0</v>
      </c>
      <c r="K7" s="52" t="s">
        <v>122</v>
      </c>
      <c r="L7" s="51">
        <v>0</v>
      </c>
      <c r="M7" s="52" t="s">
        <v>123</v>
      </c>
      <c r="N7" s="51">
        <v>0</v>
      </c>
      <c r="O7" s="94">
        <f>35/4</f>
        <v>8.75</v>
      </c>
      <c r="P7" s="48"/>
      <c r="Q7" s="5">
        <f t="shared" si="1"/>
        <v>1.3125</v>
      </c>
    </row>
    <row r="8" spans="1:19" s="2" customFormat="1" ht="30" customHeight="1" x14ac:dyDescent="0.35">
      <c r="A8" s="61">
        <v>4</v>
      </c>
      <c r="B8" s="7" t="s">
        <v>49</v>
      </c>
      <c r="C8" s="4" t="s">
        <v>16</v>
      </c>
      <c r="D8" s="62">
        <v>0.1</v>
      </c>
      <c r="E8" s="56"/>
      <c r="F8" s="56" t="s">
        <v>124</v>
      </c>
      <c r="G8" s="56" t="s">
        <v>124</v>
      </c>
      <c r="H8" s="51">
        <v>0</v>
      </c>
      <c r="I8" s="56" t="s">
        <v>124</v>
      </c>
      <c r="J8" s="51">
        <v>0</v>
      </c>
      <c r="K8" s="56" t="s">
        <v>124</v>
      </c>
      <c r="L8" s="51">
        <v>0</v>
      </c>
      <c r="M8" s="56" t="s">
        <v>124</v>
      </c>
      <c r="N8" s="51">
        <v>0</v>
      </c>
      <c r="O8" s="48" t="s">
        <v>125</v>
      </c>
      <c r="P8" s="48"/>
      <c r="Q8" s="5" t="e">
        <f t="shared" si="1"/>
        <v>#VALUE!</v>
      </c>
    </row>
    <row r="9" spans="1:19" s="2" customFormat="1" ht="30" customHeight="1" x14ac:dyDescent="0.35">
      <c r="A9" s="61">
        <v>5</v>
      </c>
      <c r="B9" s="9" t="s">
        <v>18</v>
      </c>
      <c r="C9" s="4" t="s">
        <v>17</v>
      </c>
      <c r="D9" s="62">
        <v>0.1</v>
      </c>
      <c r="E9" s="91"/>
      <c r="F9" s="96">
        <v>0.105</v>
      </c>
      <c r="G9" s="50">
        <v>0.09</v>
      </c>
      <c r="H9" s="51"/>
      <c r="I9" s="50">
        <v>0.1</v>
      </c>
      <c r="J9" s="51"/>
      <c r="K9" s="50">
        <v>0.11</v>
      </c>
      <c r="L9" s="51"/>
      <c r="M9" s="50">
        <v>0.12</v>
      </c>
      <c r="N9" s="51"/>
      <c r="O9" s="95">
        <v>0.11</v>
      </c>
      <c r="P9" s="48"/>
      <c r="Q9" s="5">
        <f t="shared" si="1"/>
        <v>1.1000000000000001E-2</v>
      </c>
    </row>
    <row r="10" spans="1:19" s="2" customFormat="1" ht="30" customHeight="1" x14ac:dyDescent="0.35">
      <c r="A10" s="61">
        <v>6</v>
      </c>
      <c r="B10" s="9" t="s">
        <v>128</v>
      </c>
      <c r="C10" s="9" t="s">
        <v>129</v>
      </c>
      <c r="D10" s="62">
        <v>0.2</v>
      </c>
      <c r="E10" s="56"/>
      <c r="F10" s="58">
        <v>0.9</v>
      </c>
      <c r="G10" s="58">
        <v>0.9</v>
      </c>
      <c r="H10" s="51"/>
      <c r="I10" s="58">
        <v>0.9</v>
      </c>
      <c r="J10" s="51"/>
      <c r="K10" s="50">
        <v>0.92</v>
      </c>
      <c r="L10" s="51"/>
      <c r="M10" s="50">
        <v>0.95</v>
      </c>
      <c r="N10" s="51"/>
      <c r="O10" s="95">
        <v>0.92</v>
      </c>
      <c r="P10" s="48"/>
      <c r="Q10" s="5">
        <f t="shared" si="1"/>
        <v>0.18400000000000002</v>
      </c>
      <c r="S10" s="2" t="s">
        <v>87</v>
      </c>
    </row>
    <row r="11" spans="1:19" s="2" customFormat="1" ht="30" customHeight="1" x14ac:dyDescent="0.35">
      <c r="A11" s="61">
        <v>7</v>
      </c>
      <c r="B11" s="7" t="s">
        <v>21</v>
      </c>
      <c r="C11" s="4" t="s">
        <v>22</v>
      </c>
      <c r="D11" s="62">
        <v>0.1</v>
      </c>
      <c r="E11" s="56"/>
      <c r="F11" s="56"/>
      <c r="G11" s="50">
        <v>1</v>
      </c>
      <c r="H11" s="51"/>
      <c r="I11" s="50">
        <v>1</v>
      </c>
      <c r="J11" s="51"/>
      <c r="K11" s="50">
        <v>1</v>
      </c>
      <c r="L11" s="51"/>
      <c r="M11" s="50">
        <v>1</v>
      </c>
      <c r="N11" s="51"/>
      <c r="O11" s="95">
        <v>1</v>
      </c>
      <c r="P11" s="48"/>
      <c r="Q11" s="5">
        <f t="shared" si="1"/>
        <v>0.1</v>
      </c>
    </row>
    <row r="12" spans="1:19" s="2" customFormat="1" ht="30" customHeight="1" thickBot="1" x14ac:dyDescent="0.4">
      <c r="A12" s="63">
        <v>8</v>
      </c>
      <c r="B12" s="64" t="s">
        <v>10</v>
      </c>
      <c r="C12" s="65" t="s">
        <v>23</v>
      </c>
      <c r="D12" s="66">
        <v>0.05</v>
      </c>
      <c r="E12" s="57"/>
      <c r="F12" s="57" t="s">
        <v>89</v>
      </c>
      <c r="G12" s="53" t="s">
        <v>89</v>
      </c>
      <c r="H12" s="54"/>
      <c r="I12" s="53" t="s">
        <v>89</v>
      </c>
      <c r="J12" s="54"/>
      <c r="K12" s="53" t="s">
        <v>89</v>
      </c>
      <c r="L12" s="54"/>
      <c r="M12" s="53" t="s">
        <v>89</v>
      </c>
      <c r="N12" s="54"/>
      <c r="O12" s="53" t="s">
        <v>89</v>
      </c>
      <c r="P12" s="48"/>
      <c r="Q12" s="5"/>
    </row>
    <row r="13" spans="1:19" x14ac:dyDescent="0.35">
      <c r="C13" s="11"/>
      <c r="D13" s="12">
        <f>SUM(D5:D12)</f>
        <v>1</v>
      </c>
      <c r="Q13" s="12"/>
    </row>
  </sheetData>
  <mergeCells count="14">
    <mergeCell ref="A2:Q2"/>
    <mergeCell ref="G3:H3"/>
    <mergeCell ref="I3:J3"/>
    <mergeCell ref="K3:L3"/>
    <mergeCell ref="M3:N3"/>
    <mergeCell ref="B3:B4"/>
    <mergeCell ref="C3:C4"/>
    <mergeCell ref="D3:D4"/>
    <mergeCell ref="E3:E4"/>
    <mergeCell ref="F3:F4"/>
    <mergeCell ref="A3:A4"/>
    <mergeCell ref="O3:O4"/>
    <mergeCell ref="Q3:Q4"/>
    <mergeCell ref="P3:P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D1EAC-36ED-448D-BE50-A6E8C3835FC7}">
  <dimension ref="A1:Q12"/>
  <sheetViews>
    <sheetView topLeftCell="D1" workbookViewId="0">
      <selection activeCell="R1" sqref="R1"/>
    </sheetView>
  </sheetViews>
  <sheetFormatPr defaultRowHeight="15.5" x14ac:dyDescent="0.35"/>
  <cols>
    <col min="1" max="1" width="6.08984375" style="1" customWidth="1"/>
    <col min="2" max="2" width="26.81640625" style="6" customWidth="1"/>
    <col min="3" max="3" width="25.1796875" style="6" customWidth="1"/>
    <col min="4" max="4" width="11.81640625" style="8" customWidth="1"/>
    <col min="5" max="5" width="16.7265625" style="1" customWidth="1"/>
    <col min="6" max="7" width="13.81640625" style="1" customWidth="1"/>
    <col min="8" max="17" width="9.81640625" style="1" customWidth="1"/>
    <col min="18" max="18" width="2.08984375" customWidth="1"/>
  </cols>
  <sheetData>
    <row r="1" spans="1:17" s="81" customFormat="1" ht="35" customHeight="1" thickBot="1" x14ac:dyDescent="0.4">
      <c r="A1" s="111" t="s">
        <v>116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3"/>
    </row>
    <row r="2" spans="1:17" s="15" customFormat="1" ht="24" customHeight="1" thickBot="1" x14ac:dyDescent="0.4">
      <c r="A2" s="67" t="s">
        <v>0</v>
      </c>
      <c r="B2" s="40" t="s">
        <v>11</v>
      </c>
      <c r="C2" s="40" t="s">
        <v>12</v>
      </c>
      <c r="D2" s="41" t="s">
        <v>24</v>
      </c>
      <c r="E2" s="119" t="s">
        <v>2</v>
      </c>
      <c r="F2" s="117" t="s">
        <v>1</v>
      </c>
      <c r="G2" s="114" t="s">
        <v>3</v>
      </c>
      <c r="H2" s="115"/>
      <c r="I2" s="116" t="s">
        <v>4</v>
      </c>
      <c r="J2" s="115"/>
      <c r="K2" s="116" t="s">
        <v>5</v>
      </c>
      <c r="L2" s="115"/>
      <c r="M2" s="116" t="s">
        <v>6</v>
      </c>
      <c r="N2" s="115"/>
      <c r="O2" s="104" t="s">
        <v>113</v>
      </c>
      <c r="P2" s="104" t="s">
        <v>25</v>
      </c>
      <c r="Q2" s="106" t="s">
        <v>26</v>
      </c>
    </row>
    <row r="3" spans="1:17" s="15" customFormat="1" ht="24" customHeight="1" thickBot="1" x14ac:dyDescent="0.4">
      <c r="A3" s="21"/>
      <c r="B3" s="22"/>
      <c r="C3" s="22"/>
      <c r="D3" s="23"/>
      <c r="E3" s="120"/>
      <c r="F3" s="118"/>
      <c r="G3" s="46" t="s">
        <v>111</v>
      </c>
      <c r="H3" s="43" t="s">
        <v>112</v>
      </c>
      <c r="I3" s="42" t="s">
        <v>111</v>
      </c>
      <c r="J3" s="43" t="s">
        <v>112</v>
      </c>
      <c r="K3" s="42" t="s">
        <v>111</v>
      </c>
      <c r="L3" s="43" t="s">
        <v>112</v>
      </c>
      <c r="M3" s="42" t="s">
        <v>111</v>
      </c>
      <c r="N3" s="43" t="s">
        <v>112</v>
      </c>
      <c r="O3" s="105"/>
      <c r="P3" s="105"/>
      <c r="Q3" s="107"/>
    </row>
    <row r="4" spans="1:17" s="25" customFormat="1" ht="30" customHeight="1" x14ac:dyDescent="0.35">
      <c r="A4" s="16">
        <v>1</v>
      </c>
      <c r="B4" s="16" t="s">
        <v>53</v>
      </c>
      <c r="C4" s="16" t="s">
        <v>50</v>
      </c>
      <c r="D4" s="19">
        <v>0.2</v>
      </c>
      <c r="E4" s="20"/>
      <c r="F4" s="55" t="s">
        <v>114</v>
      </c>
      <c r="G4" s="20"/>
      <c r="H4" s="20">
        <v>0</v>
      </c>
      <c r="I4" s="20"/>
      <c r="J4" s="20">
        <v>0</v>
      </c>
      <c r="K4" s="20"/>
      <c r="L4" s="20">
        <v>0</v>
      </c>
      <c r="M4" s="20"/>
      <c r="N4" s="20">
        <v>0</v>
      </c>
      <c r="O4" s="20"/>
      <c r="P4" s="20">
        <f>SUM(H4:N4)</f>
        <v>0</v>
      </c>
      <c r="Q4" s="20">
        <f>P4*D4</f>
        <v>0</v>
      </c>
    </row>
    <row r="5" spans="1:17" s="25" customFormat="1" ht="30" customHeight="1" x14ac:dyDescent="0.35">
      <c r="A5" s="3">
        <v>2</v>
      </c>
      <c r="B5" s="3" t="s">
        <v>52</v>
      </c>
      <c r="C5" s="3" t="s">
        <v>51</v>
      </c>
      <c r="D5" s="10">
        <v>0.2</v>
      </c>
      <c r="E5" s="5"/>
      <c r="F5" s="58">
        <v>1</v>
      </c>
      <c r="G5" s="5"/>
      <c r="H5" s="5">
        <v>0</v>
      </c>
      <c r="I5" s="5"/>
      <c r="J5" s="5">
        <v>0</v>
      </c>
      <c r="K5" s="5"/>
      <c r="L5" s="5">
        <v>0</v>
      </c>
      <c r="M5" s="5"/>
      <c r="N5" s="5">
        <v>0</v>
      </c>
      <c r="O5" s="5"/>
      <c r="P5" s="5">
        <f t="shared" ref="P5:P11" si="0">SUM(H5:N5)</f>
        <v>0</v>
      </c>
      <c r="Q5" s="5">
        <f t="shared" ref="Q5:Q11" si="1">P5*D5</f>
        <v>0</v>
      </c>
    </row>
    <row r="6" spans="1:17" s="25" customFormat="1" ht="30" customHeight="1" x14ac:dyDescent="0.35">
      <c r="A6" s="3">
        <v>3</v>
      </c>
      <c r="B6" s="26" t="s">
        <v>9</v>
      </c>
      <c r="C6" s="3" t="s">
        <v>15</v>
      </c>
      <c r="D6" s="10">
        <v>0.15</v>
      </c>
      <c r="E6" s="5"/>
      <c r="F6" s="56" t="s">
        <v>85</v>
      </c>
      <c r="G6" s="5"/>
      <c r="H6" s="5">
        <v>0</v>
      </c>
      <c r="I6" s="5"/>
      <c r="J6" s="5">
        <v>0</v>
      </c>
      <c r="K6" s="5"/>
      <c r="L6" s="5">
        <v>0</v>
      </c>
      <c r="M6" s="5"/>
      <c r="N6" s="5">
        <v>0</v>
      </c>
      <c r="O6" s="5"/>
      <c r="P6" s="5">
        <f t="shared" si="0"/>
        <v>0</v>
      </c>
      <c r="Q6" s="5">
        <f t="shared" si="1"/>
        <v>0</v>
      </c>
    </row>
    <row r="7" spans="1:17" s="25" customFormat="1" ht="30" customHeight="1" x14ac:dyDescent="0.35">
      <c r="A7" s="3">
        <v>4</v>
      </c>
      <c r="B7" s="26" t="s">
        <v>49</v>
      </c>
      <c r="C7" s="3" t="s">
        <v>16</v>
      </c>
      <c r="D7" s="10">
        <v>0.1</v>
      </c>
      <c r="E7" s="5"/>
      <c r="F7" s="56" t="s">
        <v>86</v>
      </c>
      <c r="G7" s="5"/>
      <c r="H7" s="5">
        <v>0</v>
      </c>
      <c r="I7" s="5"/>
      <c r="J7" s="5">
        <v>0</v>
      </c>
      <c r="K7" s="5"/>
      <c r="L7" s="5">
        <v>0</v>
      </c>
      <c r="M7" s="5"/>
      <c r="N7" s="5">
        <v>0</v>
      </c>
      <c r="O7" s="5"/>
      <c r="P7" s="5">
        <f t="shared" si="0"/>
        <v>0</v>
      </c>
      <c r="Q7" s="5">
        <f t="shared" si="1"/>
        <v>0</v>
      </c>
    </row>
    <row r="8" spans="1:17" s="25" customFormat="1" ht="30" customHeight="1" x14ac:dyDescent="0.35">
      <c r="A8" s="3">
        <v>5</v>
      </c>
      <c r="B8" s="3" t="s">
        <v>54</v>
      </c>
      <c r="C8" s="5" t="s">
        <v>55</v>
      </c>
      <c r="D8" s="10">
        <v>0.1</v>
      </c>
      <c r="E8" s="5"/>
      <c r="F8" s="5"/>
      <c r="G8" s="5"/>
      <c r="H8" s="5">
        <v>0</v>
      </c>
      <c r="I8" s="5"/>
      <c r="J8" s="5">
        <v>0</v>
      </c>
      <c r="K8" s="5"/>
      <c r="L8" s="5">
        <v>0</v>
      </c>
      <c r="M8" s="5"/>
      <c r="N8" s="5">
        <v>0</v>
      </c>
      <c r="O8" s="5"/>
      <c r="P8" s="5">
        <f t="shared" si="0"/>
        <v>0</v>
      </c>
      <c r="Q8" s="5">
        <f t="shared" si="1"/>
        <v>0</v>
      </c>
    </row>
    <row r="9" spans="1:17" s="25" customFormat="1" ht="30" customHeight="1" x14ac:dyDescent="0.35">
      <c r="A9" s="3">
        <v>6</v>
      </c>
      <c r="B9" s="27" t="s">
        <v>19</v>
      </c>
      <c r="C9" s="3" t="s">
        <v>20</v>
      </c>
      <c r="D9" s="10">
        <v>0.05</v>
      </c>
      <c r="E9" s="5"/>
      <c r="F9" s="58">
        <v>0.9</v>
      </c>
      <c r="G9" s="5"/>
      <c r="H9" s="5">
        <v>0</v>
      </c>
      <c r="I9" s="5"/>
      <c r="J9" s="5">
        <v>0</v>
      </c>
      <c r="K9" s="5"/>
      <c r="L9" s="5">
        <v>0</v>
      </c>
      <c r="M9" s="5"/>
      <c r="N9" s="5">
        <v>0</v>
      </c>
      <c r="O9" s="5"/>
      <c r="P9" s="5">
        <f t="shared" si="0"/>
        <v>0</v>
      </c>
      <c r="Q9" s="5">
        <f t="shared" si="1"/>
        <v>0</v>
      </c>
    </row>
    <row r="10" spans="1:17" s="25" customFormat="1" ht="30" customHeight="1" x14ac:dyDescent="0.35">
      <c r="A10" s="3">
        <v>7</v>
      </c>
      <c r="B10" s="26" t="s">
        <v>21</v>
      </c>
      <c r="C10" s="3" t="s">
        <v>22</v>
      </c>
      <c r="D10" s="10">
        <v>0.1</v>
      </c>
      <c r="E10" s="5"/>
      <c r="F10" s="56" t="s">
        <v>88</v>
      </c>
      <c r="G10" s="5"/>
      <c r="H10" s="5">
        <v>0</v>
      </c>
      <c r="I10" s="5"/>
      <c r="J10" s="5">
        <v>0</v>
      </c>
      <c r="K10" s="5"/>
      <c r="L10" s="5">
        <v>0</v>
      </c>
      <c r="M10" s="5"/>
      <c r="N10" s="5">
        <v>0</v>
      </c>
      <c r="O10" s="5"/>
      <c r="P10" s="5">
        <f t="shared" si="0"/>
        <v>0</v>
      </c>
      <c r="Q10" s="5">
        <f t="shared" si="1"/>
        <v>0</v>
      </c>
    </row>
    <row r="11" spans="1:17" s="25" customFormat="1" ht="30" customHeight="1" thickBot="1" x14ac:dyDescent="0.4">
      <c r="A11" s="3">
        <v>8</v>
      </c>
      <c r="B11" s="26" t="s">
        <v>10</v>
      </c>
      <c r="C11" s="3" t="s">
        <v>23</v>
      </c>
      <c r="D11" s="10">
        <v>0.1</v>
      </c>
      <c r="E11" s="5"/>
      <c r="F11" s="57" t="s">
        <v>89</v>
      </c>
      <c r="G11" s="5"/>
      <c r="H11" s="5">
        <v>0</v>
      </c>
      <c r="I11" s="5"/>
      <c r="J11" s="5">
        <v>0</v>
      </c>
      <c r="K11" s="5"/>
      <c r="L11" s="5">
        <v>0</v>
      </c>
      <c r="M11" s="5"/>
      <c r="N11" s="5">
        <v>0</v>
      </c>
      <c r="O11" s="5"/>
      <c r="P11" s="5">
        <f t="shared" si="0"/>
        <v>0</v>
      </c>
      <c r="Q11" s="5">
        <f t="shared" si="1"/>
        <v>0</v>
      </c>
    </row>
    <row r="12" spans="1:17" x14ac:dyDescent="0.35">
      <c r="C12" s="11"/>
      <c r="D12" s="12">
        <f>SUM(D4:D11)</f>
        <v>1</v>
      </c>
      <c r="Q12" s="12">
        <f>SUM(Q4:Q11)</f>
        <v>0</v>
      </c>
    </row>
  </sheetData>
  <mergeCells count="10">
    <mergeCell ref="A1:Q1"/>
    <mergeCell ref="G2:H2"/>
    <mergeCell ref="I2:J2"/>
    <mergeCell ref="K2:L2"/>
    <mergeCell ref="M2:N2"/>
    <mergeCell ref="O2:O3"/>
    <mergeCell ref="P2:P3"/>
    <mergeCell ref="Q2:Q3"/>
    <mergeCell ref="F2:F3"/>
    <mergeCell ref="E2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4C797-FC07-411C-9BEC-46AAC25DEE98}">
  <dimension ref="A1:Q11"/>
  <sheetViews>
    <sheetView topLeftCell="C1" workbookViewId="0">
      <selection activeCell="E7" sqref="E7"/>
    </sheetView>
  </sheetViews>
  <sheetFormatPr defaultRowHeight="15.5" x14ac:dyDescent="0.35"/>
  <cols>
    <col min="1" max="1" width="6.08984375" style="1" customWidth="1"/>
    <col min="2" max="2" width="26.81640625" style="29" customWidth="1"/>
    <col min="3" max="3" width="41.54296875" style="6" customWidth="1"/>
    <col min="4" max="4" width="11.81640625" style="8" customWidth="1"/>
    <col min="5" max="5" width="16.7265625" style="1" customWidth="1"/>
    <col min="6" max="7" width="13.81640625" style="1" customWidth="1"/>
    <col min="8" max="17" width="9.81640625" style="1" customWidth="1"/>
  </cols>
  <sheetData>
    <row r="1" spans="1:17" s="81" customFormat="1" ht="35" customHeight="1" thickBot="1" x14ac:dyDescent="0.4">
      <c r="A1" s="121" t="s">
        <v>117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3"/>
    </row>
    <row r="2" spans="1:17" s="15" customFormat="1" ht="21.5" customHeight="1" thickBot="1" x14ac:dyDescent="0.4">
      <c r="A2" s="130" t="s">
        <v>0</v>
      </c>
      <c r="B2" s="132" t="s">
        <v>11</v>
      </c>
      <c r="C2" s="132" t="s">
        <v>12</v>
      </c>
      <c r="D2" s="119" t="s">
        <v>24</v>
      </c>
      <c r="E2" s="119" t="s">
        <v>2</v>
      </c>
      <c r="F2" s="134" t="s">
        <v>1</v>
      </c>
      <c r="G2" s="126" t="s">
        <v>3</v>
      </c>
      <c r="H2" s="127"/>
      <c r="I2" s="128" t="s">
        <v>4</v>
      </c>
      <c r="J2" s="129"/>
      <c r="K2" s="128" t="s">
        <v>5</v>
      </c>
      <c r="L2" s="129"/>
      <c r="M2" s="128" t="s">
        <v>6</v>
      </c>
      <c r="N2" s="129"/>
      <c r="O2" s="104" t="s">
        <v>113</v>
      </c>
      <c r="P2" s="104" t="s">
        <v>25</v>
      </c>
      <c r="Q2" s="106" t="s">
        <v>26</v>
      </c>
    </row>
    <row r="3" spans="1:17" s="15" customFormat="1" ht="22" customHeight="1" thickBot="1" x14ac:dyDescent="0.4">
      <c r="A3" s="131"/>
      <c r="B3" s="133"/>
      <c r="C3" s="133"/>
      <c r="D3" s="120"/>
      <c r="E3" s="120"/>
      <c r="F3" s="135"/>
      <c r="G3" s="42" t="s">
        <v>111</v>
      </c>
      <c r="H3" s="43" t="s">
        <v>112</v>
      </c>
      <c r="I3" s="42" t="s">
        <v>111</v>
      </c>
      <c r="J3" s="43" t="s">
        <v>112</v>
      </c>
      <c r="K3" s="42" t="s">
        <v>111</v>
      </c>
      <c r="L3" s="43" t="s">
        <v>112</v>
      </c>
      <c r="M3" s="42" t="s">
        <v>111</v>
      </c>
      <c r="N3" s="43" t="s">
        <v>112</v>
      </c>
      <c r="O3" s="105"/>
      <c r="P3" s="105"/>
      <c r="Q3" s="107"/>
    </row>
    <row r="4" spans="1:17" s="25" customFormat="1" ht="30" customHeight="1" x14ac:dyDescent="0.35">
      <c r="A4" s="73">
        <v>1</v>
      </c>
      <c r="B4" s="124" t="s">
        <v>58</v>
      </c>
      <c r="C4" s="78" t="s">
        <v>56</v>
      </c>
      <c r="D4" s="76">
        <v>0.3</v>
      </c>
      <c r="E4" s="20"/>
      <c r="F4" s="97" t="s">
        <v>131</v>
      </c>
      <c r="G4" s="97" t="s">
        <v>131</v>
      </c>
      <c r="H4" s="49">
        <v>0</v>
      </c>
      <c r="I4" s="97" t="s">
        <v>131</v>
      </c>
      <c r="J4" s="49">
        <v>0</v>
      </c>
      <c r="K4" s="97" t="s">
        <v>131</v>
      </c>
      <c r="L4" s="49">
        <v>0</v>
      </c>
      <c r="M4" s="97" t="s">
        <v>131</v>
      </c>
      <c r="N4" s="49">
        <v>0</v>
      </c>
      <c r="O4" s="47" t="e">
        <f>G4+I4+K4+M4</f>
        <v>#VALUE!</v>
      </c>
      <c r="P4" s="47">
        <f>H4+J4+L4+N4</f>
        <v>0</v>
      </c>
      <c r="Q4" s="20">
        <f>P4*D4</f>
        <v>0</v>
      </c>
    </row>
    <row r="5" spans="1:17" s="25" customFormat="1" ht="30" customHeight="1" x14ac:dyDescent="0.35">
      <c r="A5" s="74">
        <v>2</v>
      </c>
      <c r="B5" s="125"/>
      <c r="C5" s="79" t="s">
        <v>90</v>
      </c>
      <c r="D5" s="77">
        <v>0.2</v>
      </c>
      <c r="E5" s="5"/>
      <c r="F5" s="45" t="s">
        <v>89</v>
      </c>
      <c r="G5" s="45" t="s">
        <v>89</v>
      </c>
      <c r="H5" s="51">
        <v>0</v>
      </c>
      <c r="I5" s="45" t="s">
        <v>89</v>
      </c>
      <c r="J5" s="51">
        <v>0</v>
      </c>
      <c r="K5" s="45" t="s">
        <v>89</v>
      </c>
      <c r="L5" s="51">
        <v>0</v>
      </c>
      <c r="M5" s="45" t="s">
        <v>89</v>
      </c>
      <c r="N5" s="51">
        <v>0</v>
      </c>
      <c r="O5" s="48">
        <f t="shared" ref="O5:O10" si="0">SUM(H5:N5)</f>
        <v>0</v>
      </c>
      <c r="P5" s="47">
        <f t="shared" ref="P5:P9" si="1">H5+J5+L5+N5</f>
        <v>0</v>
      </c>
      <c r="Q5" s="20">
        <f t="shared" ref="Q5:Q9" si="2">P5*D5</f>
        <v>0</v>
      </c>
    </row>
    <row r="6" spans="1:17" s="25" customFormat="1" ht="30" customHeight="1" x14ac:dyDescent="0.35">
      <c r="A6" s="74">
        <v>3</v>
      </c>
      <c r="B6" s="125" t="s">
        <v>57</v>
      </c>
      <c r="C6" s="98" t="s">
        <v>130</v>
      </c>
      <c r="D6" s="77">
        <v>0.15</v>
      </c>
      <c r="E6" s="5">
        <v>17</v>
      </c>
      <c r="F6" s="68">
        <v>8</v>
      </c>
      <c r="G6" s="69">
        <v>3</v>
      </c>
      <c r="H6" s="51">
        <v>0</v>
      </c>
      <c r="I6" s="52">
        <v>3</v>
      </c>
      <c r="J6" s="51">
        <v>0</v>
      </c>
      <c r="K6" s="52">
        <v>1</v>
      </c>
      <c r="L6" s="51">
        <v>0</v>
      </c>
      <c r="M6" s="52">
        <v>1</v>
      </c>
      <c r="N6" s="51">
        <v>0</v>
      </c>
      <c r="O6" s="48">
        <f>G6+I6+K6+M6</f>
        <v>8</v>
      </c>
      <c r="P6" s="47">
        <f t="shared" si="1"/>
        <v>0</v>
      </c>
      <c r="Q6" s="20">
        <f t="shared" si="2"/>
        <v>0</v>
      </c>
    </row>
    <row r="7" spans="1:17" s="25" customFormat="1" ht="30" customHeight="1" x14ac:dyDescent="0.35">
      <c r="A7" s="74">
        <v>4</v>
      </c>
      <c r="B7" s="125"/>
      <c r="C7" s="79" t="s">
        <v>59</v>
      </c>
      <c r="D7" s="77">
        <v>0.1</v>
      </c>
      <c r="E7" s="5"/>
      <c r="F7" s="45" t="s">
        <v>92</v>
      </c>
      <c r="G7" s="45" t="s">
        <v>92</v>
      </c>
      <c r="H7" s="51">
        <v>0</v>
      </c>
      <c r="I7" s="45" t="s">
        <v>92</v>
      </c>
      <c r="J7" s="51">
        <v>0</v>
      </c>
      <c r="K7" s="45" t="s">
        <v>92</v>
      </c>
      <c r="L7" s="51">
        <v>0</v>
      </c>
      <c r="M7" s="45" t="s">
        <v>92</v>
      </c>
      <c r="N7" s="51">
        <v>0</v>
      </c>
      <c r="O7" s="48">
        <f t="shared" si="0"/>
        <v>0</v>
      </c>
      <c r="P7" s="47">
        <f t="shared" si="1"/>
        <v>0</v>
      </c>
      <c r="Q7" s="20">
        <f t="shared" si="2"/>
        <v>0</v>
      </c>
    </row>
    <row r="8" spans="1:17" s="25" customFormat="1" ht="30" customHeight="1" x14ac:dyDescent="0.35">
      <c r="A8" s="74">
        <v>5</v>
      </c>
      <c r="B8" s="125"/>
      <c r="C8" s="79" t="s">
        <v>60</v>
      </c>
      <c r="D8" s="77">
        <v>0.05</v>
      </c>
      <c r="E8" s="5"/>
      <c r="F8" s="45" t="s">
        <v>93</v>
      </c>
      <c r="G8" s="45" t="s">
        <v>93</v>
      </c>
      <c r="H8" s="51">
        <v>0</v>
      </c>
      <c r="I8" s="45" t="s">
        <v>93</v>
      </c>
      <c r="J8" s="51">
        <v>0</v>
      </c>
      <c r="K8" s="45" t="s">
        <v>93</v>
      </c>
      <c r="L8" s="51">
        <v>0</v>
      </c>
      <c r="M8" s="45" t="s">
        <v>93</v>
      </c>
      <c r="N8" s="51">
        <v>0</v>
      </c>
      <c r="O8" s="48">
        <f t="shared" si="0"/>
        <v>0</v>
      </c>
      <c r="P8" s="47">
        <f t="shared" si="1"/>
        <v>0</v>
      </c>
      <c r="Q8" s="20">
        <f t="shared" si="2"/>
        <v>0</v>
      </c>
    </row>
    <row r="9" spans="1:17" s="25" customFormat="1" ht="30" customHeight="1" x14ac:dyDescent="0.35">
      <c r="A9" s="74">
        <v>6</v>
      </c>
      <c r="B9" s="71" t="s">
        <v>61</v>
      </c>
      <c r="C9" s="79" t="s">
        <v>62</v>
      </c>
      <c r="D9" s="77">
        <v>0.1</v>
      </c>
      <c r="E9" s="5"/>
      <c r="F9" s="68" t="s">
        <v>91</v>
      </c>
      <c r="G9" s="69"/>
      <c r="H9" s="51">
        <v>0</v>
      </c>
      <c r="I9" s="52"/>
      <c r="J9" s="51">
        <v>0</v>
      </c>
      <c r="K9" s="52"/>
      <c r="L9" s="51">
        <v>0</v>
      </c>
      <c r="M9" s="52"/>
      <c r="N9" s="51">
        <v>0</v>
      </c>
      <c r="O9" s="48">
        <f t="shared" si="0"/>
        <v>0</v>
      </c>
      <c r="P9" s="47">
        <f t="shared" si="1"/>
        <v>0</v>
      </c>
      <c r="Q9" s="20">
        <f t="shared" si="2"/>
        <v>0</v>
      </c>
    </row>
    <row r="10" spans="1:17" s="25" customFormat="1" ht="30" customHeight="1" thickBot="1" x14ac:dyDescent="0.4">
      <c r="A10" s="75">
        <v>7</v>
      </c>
      <c r="B10" s="72" t="s">
        <v>63</v>
      </c>
      <c r="C10" s="80" t="s">
        <v>64</v>
      </c>
      <c r="D10" s="77">
        <v>0.1</v>
      </c>
      <c r="E10" s="5"/>
      <c r="F10" s="44">
        <v>1</v>
      </c>
      <c r="G10" s="70">
        <v>1</v>
      </c>
      <c r="H10" s="54">
        <v>0</v>
      </c>
      <c r="I10" s="70">
        <v>1</v>
      </c>
      <c r="J10" s="54">
        <v>0</v>
      </c>
      <c r="K10" s="70">
        <v>1</v>
      </c>
      <c r="L10" s="54">
        <v>0</v>
      </c>
      <c r="M10" s="70">
        <v>1</v>
      </c>
      <c r="N10" s="54">
        <v>0</v>
      </c>
      <c r="O10" s="48">
        <f t="shared" si="0"/>
        <v>3</v>
      </c>
      <c r="P10" s="47">
        <f t="shared" ref="P10" si="3">H10+J10+L10+N10</f>
        <v>0</v>
      </c>
      <c r="Q10" s="20">
        <f t="shared" ref="Q10" si="4">P10*D10</f>
        <v>0</v>
      </c>
    </row>
    <row r="11" spans="1:17" x14ac:dyDescent="0.35">
      <c r="C11"/>
      <c r="D11" s="12">
        <f>SUM(D4:D10)</f>
        <v>1</v>
      </c>
      <c r="Q11" s="12">
        <f>SUM(Q4:Q10)</f>
        <v>0</v>
      </c>
    </row>
  </sheetData>
  <mergeCells count="16">
    <mergeCell ref="Q2:Q3"/>
    <mergeCell ref="P2:P3"/>
    <mergeCell ref="A1:Q1"/>
    <mergeCell ref="B4:B5"/>
    <mergeCell ref="B6:B8"/>
    <mergeCell ref="G2:H2"/>
    <mergeCell ref="I2:J2"/>
    <mergeCell ref="K2:L2"/>
    <mergeCell ref="M2:N2"/>
    <mergeCell ref="A2:A3"/>
    <mergeCell ref="B2:B3"/>
    <mergeCell ref="C2:C3"/>
    <mergeCell ref="D2:D3"/>
    <mergeCell ref="E2:E3"/>
    <mergeCell ref="F2:F3"/>
    <mergeCell ref="O2:O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8803A-A9B0-40E8-BCE2-083145D69505}">
  <dimension ref="A1:Q11"/>
  <sheetViews>
    <sheetView topLeftCell="A5" workbookViewId="0">
      <selection activeCell="A15" sqref="A15"/>
    </sheetView>
  </sheetViews>
  <sheetFormatPr defaultRowHeight="15.5" x14ac:dyDescent="0.35"/>
  <cols>
    <col min="1" max="1" width="6.08984375" style="1" customWidth="1"/>
    <col min="2" max="2" width="40.90625" style="34" customWidth="1"/>
    <col min="3" max="3" width="25.1796875" style="6" customWidth="1"/>
    <col min="4" max="4" width="11.81640625" style="8" customWidth="1"/>
    <col min="5" max="5" width="16.7265625" style="1" customWidth="1"/>
    <col min="6" max="6" width="13.81640625" style="1" customWidth="1"/>
    <col min="7" max="16" width="9.81640625" style="1" customWidth="1"/>
    <col min="17" max="17" width="16" customWidth="1"/>
  </cols>
  <sheetData>
    <row r="1" spans="1:17" s="81" customFormat="1" ht="35" customHeight="1" x14ac:dyDescent="0.35">
      <c r="A1" s="137" t="s">
        <v>118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</row>
    <row r="2" spans="1:17" s="15" customFormat="1" ht="28" customHeight="1" x14ac:dyDescent="0.35">
      <c r="A2" s="140" t="s">
        <v>0</v>
      </c>
      <c r="B2" s="142" t="s">
        <v>11</v>
      </c>
      <c r="C2" s="140" t="s">
        <v>12</v>
      </c>
      <c r="D2" s="144" t="s">
        <v>24</v>
      </c>
      <c r="E2" s="144" t="s">
        <v>2</v>
      </c>
      <c r="F2" s="144" t="s">
        <v>1</v>
      </c>
      <c r="G2" s="136" t="s">
        <v>3</v>
      </c>
      <c r="H2" s="136"/>
      <c r="I2" s="136" t="s">
        <v>4</v>
      </c>
      <c r="J2" s="136"/>
      <c r="K2" s="136" t="s">
        <v>5</v>
      </c>
      <c r="L2" s="136"/>
      <c r="M2" s="136" t="s">
        <v>6</v>
      </c>
      <c r="N2" s="136"/>
      <c r="O2" s="139" t="s">
        <v>113</v>
      </c>
      <c r="P2" s="139" t="s">
        <v>25</v>
      </c>
      <c r="Q2" s="136" t="s">
        <v>26</v>
      </c>
    </row>
    <row r="3" spans="1:17" s="15" customFormat="1" ht="22" customHeight="1" x14ac:dyDescent="0.35">
      <c r="A3" s="141"/>
      <c r="B3" s="143"/>
      <c r="C3" s="141"/>
      <c r="D3" s="145"/>
      <c r="E3" s="145"/>
      <c r="F3" s="145"/>
      <c r="G3" s="13" t="s">
        <v>111</v>
      </c>
      <c r="H3" s="13" t="s">
        <v>112</v>
      </c>
      <c r="I3" s="13" t="s">
        <v>111</v>
      </c>
      <c r="J3" s="13" t="s">
        <v>112</v>
      </c>
      <c r="K3" s="13" t="s">
        <v>111</v>
      </c>
      <c r="L3" s="13" t="s">
        <v>112</v>
      </c>
      <c r="M3" s="13" t="s">
        <v>111</v>
      </c>
      <c r="N3" s="13" t="s">
        <v>112</v>
      </c>
      <c r="O3" s="139"/>
      <c r="P3" s="139"/>
      <c r="Q3" s="136"/>
    </row>
    <row r="4" spans="1:17" s="25" customFormat="1" ht="30" customHeight="1" x14ac:dyDescent="0.35">
      <c r="A4" s="3">
        <v>1</v>
      </c>
      <c r="B4" s="99" t="s">
        <v>132</v>
      </c>
      <c r="C4" s="24"/>
      <c r="D4" s="10">
        <v>0.2</v>
      </c>
      <c r="E4" s="5"/>
      <c r="F4" s="45" t="s">
        <v>89</v>
      </c>
      <c r="G4" s="45" t="s">
        <v>89</v>
      </c>
      <c r="H4" s="5"/>
      <c r="I4" s="45" t="s">
        <v>89</v>
      </c>
      <c r="J4" s="5"/>
      <c r="K4" s="45" t="s">
        <v>89</v>
      </c>
      <c r="L4" s="5"/>
      <c r="M4" s="45" t="s">
        <v>89</v>
      </c>
      <c r="N4" s="5"/>
      <c r="O4" s="5" t="s">
        <v>89</v>
      </c>
      <c r="P4" s="5">
        <f>H4+J4+L4+N4</f>
        <v>0</v>
      </c>
      <c r="Q4" s="5">
        <f>P4*D4</f>
        <v>0</v>
      </c>
    </row>
    <row r="5" spans="1:17" s="25" customFormat="1" ht="30" customHeight="1" x14ac:dyDescent="0.35">
      <c r="A5" s="3">
        <v>2</v>
      </c>
      <c r="B5" s="86" t="s">
        <v>94</v>
      </c>
      <c r="C5" s="24"/>
      <c r="D5" s="10">
        <v>0.2</v>
      </c>
      <c r="E5" s="5"/>
      <c r="F5" s="44">
        <v>0.98</v>
      </c>
      <c r="G5" s="5">
        <v>0</v>
      </c>
      <c r="H5" s="5"/>
      <c r="I5" s="5">
        <v>0</v>
      </c>
      <c r="J5" s="5"/>
      <c r="K5" s="5">
        <v>0</v>
      </c>
      <c r="L5" s="5"/>
      <c r="M5" s="5">
        <v>0</v>
      </c>
      <c r="N5" s="5"/>
      <c r="O5" s="5">
        <f t="shared" ref="O5:O10" si="0">G5+I5+K5+M5</f>
        <v>0</v>
      </c>
      <c r="P5" s="5">
        <f t="shared" ref="P5:P10" si="1">H5+J5+L5+N5</f>
        <v>0</v>
      </c>
      <c r="Q5" s="5">
        <f t="shared" ref="Q5:Q10" si="2">P5*D5</f>
        <v>0</v>
      </c>
    </row>
    <row r="6" spans="1:17" s="25" customFormat="1" ht="30" customHeight="1" x14ac:dyDescent="0.35">
      <c r="A6" s="3">
        <v>3</v>
      </c>
      <c r="B6" s="86" t="s">
        <v>95</v>
      </c>
      <c r="C6" s="24" t="s">
        <v>65</v>
      </c>
      <c r="D6" s="10">
        <v>0.15</v>
      </c>
      <c r="E6" s="5"/>
      <c r="F6" s="45" t="s">
        <v>96</v>
      </c>
      <c r="G6" s="5">
        <v>0</v>
      </c>
      <c r="H6" s="5"/>
      <c r="I6" s="5">
        <v>0</v>
      </c>
      <c r="J6" s="5"/>
      <c r="K6" s="5">
        <v>0</v>
      </c>
      <c r="L6" s="5"/>
      <c r="M6" s="5">
        <v>0</v>
      </c>
      <c r="N6" s="5"/>
      <c r="O6" s="5">
        <f t="shared" si="0"/>
        <v>0</v>
      </c>
      <c r="P6" s="5">
        <f t="shared" si="1"/>
        <v>0</v>
      </c>
      <c r="Q6" s="5">
        <f t="shared" si="2"/>
        <v>0</v>
      </c>
    </row>
    <row r="7" spans="1:17" s="25" customFormat="1" ht="30" customHeight="1" x14ac:dyDescent="0.35">
      <c r="A7" s="3">
        <v>4</v>
      </c>
      <c r="B7" s="86" t="s">
        <v>97</v>
      </c>
      <c r="C7" s="25" t="s">
        <v>98</v>
      </c>
      <c r="D7" s="10">
        <v>0.1</v>
      </c>
      <c r="E7" s="5"/>
      <c r="F7" s="45" t="s">
        <v>133</v>
      </c>
      <c r="G7" s="5">
        <v>0</v>
      </c>
      <c r="H7" s="5"/>
      <c r="I7" s="5">
        <v>0</v>
      </c>
      <c r="J7" s="5"/>
      <c r="K7" s="5">
        <v>0</v>
      </c>
      <c r="L7" s="5"/>
      <c r="M7" s="5">
        <v>0</v>
      </c>
      <c r="N7" s="5"/>
      <c r="O7" s="5">
        <f t="shared" si="0"/>
        <v>0</v>
      </c>
      <c r="P7" s="5">
        <f t="shared" si="1"/>
        <v>0</v>
      </c>
      <c r="Q7" s="5">
        <f t="shared" si="2"/>
        <v>0</v>
      </c>
    </row>
    <row r="8" spans="1:17" s="25" customFormat="1" ht="30" customHeight="1" x14ac:dyDescent="0.35">
      <c r="A8" s="3">
        <v>5</v>
      </c>
      <c r="B8" s="84" t="s">
        <v>99</v>
      </c>
      <c r="C8" s="24"/>
      <c r="D8" s="10">
        <v>0.1</v>
      </c>
      <c r="E8" s="5"/>
      <c r="F8" s="68" t="s">
        <v>134</v>
      </c>
      <c r="G8" s="5">
        <v>0</v>
      </c>
      <c r="H8" s="5"/>
      <c r="I8" s="5">
        <v>0</v>
      </c>
      <c r="J8" s="5"/>
      <c r="K8" s="5">
        <v>0</v>
      </c>
      <c r="L8" s="5"/>
      <c r="M8" s="5">
        <v>0</v>
      </c>
      <c r="N8" s="5"/>
      <c r="O8" s="5">
        <f t="shared" si="0"/>
        <v>0</v>
      </c>
      <c r="P8" s="5">
        <f t="shared" si="1"/>
        <v>0</v>
      </c>
      <c r="Q8" s="5">
        <f t="shared" si="2"/>
        <v>0</v>
      </c>
    </row>
    <row r="9" spans="1:17" s="25" customFormat="1" ht="30" customHeight="1" x14ac:dyDescent="0.35">
      <c r="A9" s="3">
        <v>6</v>
      </c>
      <c r="B9" s="84" t="s">
        <v>135</v>
      </c>
      <c r="C9" s="24"/>
      <c r="D9" s="10">
        <v>0.05</v>
      </c>
      <c r="E9" s="5"/>
      <c r="F9" s="45" t="s">
        <v>100</v>
      </c>
      <c r="G9" s="5">
        <v>0</v>
      </c>
      <c r="H9" s="5"/>
      <c r="I9" s="5">
        <v>0</v>
      </c>
      <c r="J9" s="5"/>
      <c r="K9" s="5">
        <v>0</v>
      </c>
      <c r="L9" s="5"/>
      <c r="M9" s="5">
        <v>0</v>
      </c>
      <c r="N9" s="5"/>
      <c r="O9" s="5">
        <f t="shared" si="0"/>
        <v>0</v>
      </c>
      <c r="P9" s="5">
        <f t="shared" si="1"/>
        <v>0</v>
      </c>
      <c r="Q9" s="5">
        <f t="shared" si="2"/>
        <v>0</v>
      </c>
    </row>
    <row r="10" spans="1:17" s="25" customFormat="1" ht="30" customHeight="1" x14ac:dyDescent="0.35">
      <c r="A10" s="3">
        <v>7</v>
      </c>
      <c r="B10" s="84" t="s">
        <v>101</v>
      </c>
      <c r="C10" s="24"/>
      <c r="D10" s="10">
        <v>0.2</v>
      </c>
      <c r="E10" s="5"/>
      <c r="F10" s="68" t="s">
        <v>102</v>
      </c>
      <c r="G10" s="5">
        <v>0</v>
      </c>
      <c r="H10" s="5"/>
      <c r="I10" s="5">
        <v>0</v>
      </c>
      <c r="J10" s="5"/>
      <c r="K10" s="5">
        <v>0</v>
      </c>
      <c r="L10" s="5"/>
      <c r="M10" s="5">
        <v>0</v>
      </c>
      <c r="N10" s="5"/>
      <c r="O10" s="5">
        <f t="shared" si="0"/>
        <v>0</v>
      </c>
      <c r="P10" s="5">
        <f t="shared" si="1"/>
        <v>0</v>
      </c>
      <c r="Q10" s="5">
        <f t="shared" si="2"/>
        <v>0</v>
      </c>
    </row>
    <row r="11" spans="1:17" x14ac:dyDescent="0.35">
      <c r="C11"/>
      <c r="D11" s="12">
        <f>SUM(D4:D10)</f>
        <v>1</v>
      </c>
      <c r="P11" s="12">
        <f>SUM(P4:P10)</f>
        <v>0</v>
      </c>
    </row>
  </sheetData>
  <mergeCells count="14">
    <mergeCell ref="Q2:Q3"/>
    <mergeCell ref="A1:Q1"/>
    <mergeCell ref="G2:H2"/>
    <mergeCell ref="I2:J2"/>
    <mergeCell ref="K2:L2"/>
    <mergeCell ref="M2:N2"/>
    <mergeCell ref="O2:O3"/>
    <mergeCell ref="P2:P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0D73-5D05-485E-9297-43D44CF44DF1}">
  <dimension ref="A1:Q17"/>
  <sheetViews>
    <sheetView workbookViewId="0">
      <selection activeCell="B16" sqref="B16"/>
    </sheetView>
  </sheetViews>
  <sheetFormatPr defaultRowHeight="15.5" x14ac:dyDescent="0.35"/>
  <cols>
    <col min="1" max="1" width="6.08984375" style="1" customWidth="1"/>
    <col min="2" max="2" width="21.08984375" style="34" customWidth="1"/>
    <col min="3" max="3" width="38" style="88" customWidth="1"/>
    <col min="4" max="4" width="11.81640625" style="8" customWidth="1"/>
    <col min="5" max="5" width="16.7265625" style="1" customWidth="1"/>
    <col min="6" max="6" width="13.81640625" style="1" customWidth="1"/>
    <col min="7" max="12" width="9.81640625" style="1" customWidth="1"/>
    <col min="13" max="13" width="10.1796875" customWidth="1"/>
  </cols>
  <sheetData>
    <row r="1" spans="1:17" s="82" customFormat="1" ht="35" customHeight="1" x14ac:dyDescent="0.35">
      <c r="A1" s="146" t="s">
        <v>119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</row>
    <row r="2" spans="1:17" s="15" customFormat="1" ht="34" customHeight="1" x14ac:dyDescent="0.35">
      <c r="A2" s="13" t="s">
        <v>0</v>
      </c>
      <c r="B2" s="33" t="s">
        <v>11</v>
      </c>
      <c r="C2" s="33" t="s">
        <v>12</v>
      </c>
      <c r="D2" s="14" t="s">
        <v>24</v>
      </c>
      <c r="E2" s="14" t="s">
        <v>2</v>
      </c>
      <c r="F2" s="14" t="s">
        <v>1</v>
      </c>
      <c r="G2" s="136" t="s">
        <v>3</v>
      </c>
      <c r="H2" s="136"/>
      <c r="I2" s="136" t="s">
        <v>4</v>
      </c>
      <c r="J2" s="136"/>
      <c r="K2" s="136" t="s">
        <v>5</v>
      </c>
      <c r="L2" s="136"/>
      <c r="M2" s="136" t="s">
        <v>6</v>
      </c>
      <c r="N2" s="136"/>
      <c r="O2" s="139" t="s">
        <v>113</v>
      </c>
      <c r="P2" s="139" t="s">
        <v>25</v>
      </c>
      <c r="Q2" s="136" t="s">
        <v>26</v>
      </c>
    </row>
    <row r="3" spans="1:17" s="15" customFormat="1" ht="34" customHeight="1" x14ac:dyDescent="0.35">
      <c r="A3" s="140">
        <v>1</v>
      </c>
      <c r="B3" s="149" t="s">
        <v>72</v>
      </c>
      <c r="C3" s="83" t="s">
        <v>105</v>
      </c>
      <c r="D3" s="39">
        <v>0.2</v>
      </c>
      <c r="E3" s="14"/>
      <c r="F3" s="14" t="s">
        <v>106</v>
      </c>
      <c r="G3" s="13" t="s">
        <v>111</v>
      </c>
      <c r="H3" s="13" t="s">
        <v>112</v>
      </c>
      <c r="I3" s="13" t="s">
        <v>111</v>
      </c>
      <c r="J3" s="13" t="s">
        <v>112</v>
      </c>
      <c r="K3" s="13" t="s">
        <v>111</v>
      </c>
      <c r="L3" s="13" t="s">
        <v>112</v>
      </c>
      <c r="M3" s="13" t="s">
        <v>111</v>
      </c>
      <c r="N3" s="13" t="s">
        <v>112</v>
      </c>
      <c r="O3" s="139"/>
      <c r="P3" s="139"/>
      <c r="Q3" s="136"/>
    </row>
    <row r="4" spans="1:17" s="2" customFormat="1" ht="30" customHeight="1" x14ac:dyDescent="0.35">
      <c r="A4" s="141"/>
      <c r="B4" s="150"/>
      <c r="C4" s="84" t="s">
        <v>73</v>
      </c>
      <c r="D4" s="10">
        <v>0.2</v>
      </c>
      <c r="E4" s="30"/>
      <c r="F4" s="5" t="s">
        <v>103</v>
      </c>
      <c r="G4" s="5">
        <v>0</v>
      </c>
      <c r="H4" s="5"/>
      <c r="I4" s="5">
        <v>0</v>
      </c>
      <c r="J4" s="5"/>
      <c r="K4" s="5">
        <v>0</v>
      </c>
      <c r="L4" s="5"/>
      <c r="M4" s="5">
        <v>0</v>
      </c>
      <c r="N4" s="5"/>
      <c r="O4" s="5">
        <f>G4+I4+K4+M4</f>
        <v>0</v>
      </c>
      <c r="P4" s="5">
        <f>H4+J4+L4+N4</f>
        <v>0</v>
      </c>
      <c r="Q4" s="5">
        <f>P4*D4</f>
        <v>0</v>
      </c>
    </row>
    <row r="5" spans="1:17" s="2" customFormat="1" ht="30" customHeight="1" x14ac:dyDescent="0.35">
      <c r="A5" s="3">
        <v>2</v>
      </c>
      <c r="B5" s="36" t="s">
        <v>68</v>
      </c>
      <c r="C5" s="84" t="s">
        <v>69</v>
      </c>
      <c r="D5" s="10">
        <v>0.05</v>
      </c>
      <c r="E5" s="30"/>
      <c r="F5" s="5" t="s">
        <v>104</v>
      </c>
      <c r="G5" s="5">
        <v>0</v>
      </c>
      <c r="H5" s="5"/>
      <c r="I5" s="5">
        <v>0</v>
      </c>
      <c r="J5" s="5"/>
      <c r="K5" s="5">
        <v>0</v>
      </c>
      <c r="L5" s="5"/>
      <c r="M5" s="5">
        <v>0</v>
      </c>
      <c r="N5" s="5"/>
      <c r="O5" s="5">
        <f t="shared" ref="O5:P10" si="0">G5+I5+K5+M5</f>
        <v>0</v>
      </c>
      <c r="P5" s="5">
        <f t="shared" si="0"/>
        <v>0</v>
      </c>
      <c r="Q5" s="5">
        <f t="shared" ref="Q5:Q10" si="1">P5*D5</f>
        <v>0</v>
      </c>
    </row>
    <row r="6" spans="1:17" s="2" customFormat="1" ht="16" customHeight="1" x14ac:dyDescent="0.35">
      <c r="A6" s="148">
        <v>3</v>
      </c>
      <c r="B6" s="147" t="s">
        <v>66</v>
      </c>
      <c r="C6" s="85" t="s">
        <v>67</v>
      </c>
      <c r="D6" s="10">
        <v>0.05</v>
      </c>
      <c r="E6" s="30"/>
      <c r="F6" s="5" t="s">
        <v>89</v>
      </c>
      <c r="G6" s="5">
        <v>0</v>
      </c>
      <c r="H6" s="5"/>
      <c r="I6" s="5">
        <v>0</v>
      </c>
      <c r="J6" s="5"/>
      <c r="K6" s="5">
        <v>0</v>
      </c>
      <c r="L6" s="5"/>
      <c r="M6" s="5">
        <v>0</v>
      </c>
      <c r="N6" s="5"/>
      <c r="O6" s="5">
        <f t="shared" si="0"/>
        <v>0</v>
      </c>
      <c r="P6" s="5">
        <f t="shared" si="0"/>
        <v>0</v>
      </c>
      <c r="Q6" s="5">
        <f t="shared" si="1"/>
        <v>0</v>
      </c>
    </row>
    <row r="7" spans="1:17" s="2" customFormat="1" ht="16" customHeight="1" x14ac:dyDescent="0.35">
      <c r="A7" s="148"/>
      <c r="B7" s="147"/>
      <c r="C7" s="85" t="s">
        <v>77</v>
      </c>
      <c r="D7" s="10">
        <v>0.05</v>
      </c>
      <c r="E7" s="30"/>
      <c r="F7" s="5" t="s">
        <v>89</v>
      </c>
      <c r="G7" s="5">
        <v>0</v>
      </c>
      <c r="H7" s="5"/>
      <c r="I7" s="5">
        <v>0</v>
      </c>
      <c r="J7" s="5"/>
      <c r="K7" s="5">
        <v>0</v>
      </c>
      <c r="L7" s="5"/>
      <c r="M7" s="5">
        <v>0</v>
      </c>
      <c r="N7" s="5"/>
      <c r="O7" s="5">
        <f t="shared" si="0"/>
        <v>0</v>
      </c>
      <c r="P7" s="5">
        <f t="shared" si="0"/>
        <v>0</v>
      </c>
      <c r="Q7" s="5">
        <f t="shared" si="1"/>
        <v>0</v>
      </c>
    </row>
    <row r="8" spans="1:17" s="2" customFormat="1" ht="16" customHeight="1" x14ac:dyDescent="0.35">
      <c r="A8" s="148"/>
      <c r="B8" s="147"/>
      <c r="C8" s="85" t="s">
        <v>78</v>
      </c>
      <c r="D8" s="10">
        <v>0.05</v>
      </c>
      <c r="E8" s="30"/>
      <c r="F8" s="5"/>
      <c r="G8" s="5">
        <v>0</v>
      </c>
      <c r="H8" s="5"/>
      <c r="I8" s="5">
        <v>0</v>
      </c>
      <c r="J8" s="5"/>
      <c r="K8" s="5">
        <v>0</v>
      </c>
      <c r="L8" s="5"/>
      <c r="M8" s="5">
        <v>0</v>
      </c>
      <c r="N8" s="5"/>
      <c r="O8" s="5">
        <f t="shared" si="0"/>
        <v>0</v>
      </c>
      <c r="P8" s="5">
        <f t="shared" si="0"/>
        <v>0</v>
      </c>
      <c r="Q8" s="5">
        <f t="shared" si="1"/>
        <v>0</v>
      </c>
    </row>
    <row r="9" spans="1:17" s="2" customFormat="1" ht="16" customHeight="1" x14ac:dyDescent="0.35">
      <c r="A9" s="148"/>
      <c r="B9" s="147"/>
      <c r="C9" s="85" t="s">
        <v>79</v>
      </c>
      <c r="D9" s="10">
        <v>0.05</v>
      </c>
      <c r="E9" s="30"/>
      <c r="F9" s="38">
        <v>1</v>
      </c>
      <c r="G9" s="5">
        <v>0</v>
      </c>
      <c r="H9" s="5"/>
      <c r="I9" s="5">
        <v>0</v>
      </c>
      <c r="J9" s="5"/>
      <c r="K9" s="5">
        <v>0</v>
      </c>
      <c r="L9" s="5"/>
      <c r="M9" s="5">
        <v>0</v>
      </c>
      <c r="N9" s="5"/>
      <c r="O9" s="5">
        <f t="shared" si="0"/>
        <v>0</v>
      </c>
      <c r="P9" s="5">
        <f t="shared" si="0"/>
        <v>0</v>
      </c>
      <c r="Q9" s="5">
        <f t="shared" si="1"/>
        <v>0</v>
      </c>
    </row>
    <row r="10" spans="1:17" s="2" customFormat="1" ht="25" customHeight="1" x14ac:dyDescent="0.35">
      <c r="A10" s="148">
        <v>4</v>
      </c>
      <c r="B10" s="147" t="s">
        <v>70</v>
      </c>
      <c r="C10" s="84" t="s">
        <v>71</v>
      </c>
      <c r="D10" s="10">
        <v>0.1</v>
      </c>
      <c r="E10" s="30"/>
      <c r="F10" s="38">
        <v>0.9</v>
      </c>
      <c r="G10" s="5">
        <v>0</v>
      </c>
      <c r="H10" s="5"/>
      <c r="I10" s="5">
        <v>0</v>
      </c>
      <c r="J10" s="5"/>
      <c r="K10" s="5">
        <v>0</v>
      </c>
      <c r="L10" s="5"/>
      <c r="M10" s="5">
        <v>0</v>
      </c>
      <c r="N10" s="5"/>
      <c r="O10" s="5">
        <f t="shared" si="0"/>
        <v>0</v>
      </c>
      <c r="P10" s="5">
        <f t="shared" si="0"/>
        <v>0</v>
      </c>
      <c r="Q10" s="5">
        <f t="shared" si="1"/>
        <v>0</v>
      </c>
    </row>
    <row r="11" spans="1:17" s="2" customFormat="1" ht="25" customHeight="1" x14ac:dyDescent="0.35">
      <c r="A11" s="148"/>
      <c r="B11" s="147"/>
      <c r="C11" s="84" t="s">
        <v>75</v>
      </c>
      <c r="D11" s="10">
        <v>0.05</v>
      </c>
      <c r="E11" s="30"/>
      <c r="F11" s="5"/>
      <c r="G11" s="5"/>
      <c r="H11" s="5"/>
      <c r="I11" s="5"/>
      <c r="J11" s="5"/>
      <c r="K11" s="5"/>
      <c r="L11" s="5"/>
    </row>
    <row r="12" spans="1:17" s="2" customFormat="1" ht="25" customHeight="1" x14ac:dyDescent="0.35">
      <c r="A12" s="148"/>
      <c r="B12" s="147"/>
      <c r="C12" s="84" t="s">
        <v>76</v>
      </c>
      <c r="D12" s="10">
        <v>0.05</v>
      </c>
      <c r="E12" s="30"/>
      <c r="F12" s="38">
        <v>1</v>
      </c>
      <c r="G12" s="5"/>
      <c r="H12" s="5"/>
      <c r="I12" s="5"/>
      <c r="J12" s="5"/>
      <c r="K12" s="5"/>
      <c r="L12" s="5"/>
    </row>
    <row r="13" spans="1:17" s="2" customFormat="1" ht="27" customHeight="1" x14ac:dyDescent="0.35">
      <c r="A13" s="3">
        <v>5</v>
      </c>
      <c r="B13" s="36" t="s">
        <v>74</v>
      </c>
      <c r="C13" s="84" t="s">
        <v>108</v>
      </c>
      <c r="D13" s="10">
        <v>0.1</v>
      </c>
      <c r="E13" s="30"/>
      <c r="F13" s="5" t="s">
        <v>107</v>
      </c>
      <c r="G13" s="5">
        <v>0</v>
      </c>
      <c r="H13" s="5">
        <v>0</v>
      </c>
      <c r="I13" s="5">
        <v>0</v>
      </c>
      <c r="J13" s="5">
        <v>0</v>
      </c>
      <c r="K13" s="5">
        <f t="shared" ref="K13:K16" si="2">SUM(G13:J13)</f>
        <v>0</v>
      </c>
      <c r="L13" s="5">
        <f t="shared" ref="L13:L16" si="3">K13*D13</f>
        <v>0</v>
      </c>
    </row>
    <row r="14" spans="1:17" s="2" customFormat="1" ht="73" customHeight="1" x14ac:dyDescent="0.35">
      <c r="A14" s="3">
        <v>6</v>
      </c>
      <c r="B14" s="36" t="s">
        <v>82</v>
      </c>
      <c r="C14" s="84" t="s">
        <v>83</v>
      </c>
      <c r="D14" s="10">
        <v>0.1</v>
      </c>
      <c r="E14" s="30"/>
      <c r="F14" s="38">
        <v>1</v>
      </c>
      <c r="G14" s="5"/>
      <c r="H14" s="5"/>
      <c r="I14" s="5"/>
      <c r="J14" s="5"/>
      <c r="K14" s="5"/>
      <c r="L14" s="5"/>
    </row>
    <row r="15" spans="1:17" s="2" customFormat="1" ht="57.5" customHeight="1" x14ac:dyDescent="0.35">
      <c r="A15" s="3">
        <v>7</v>
      </c>
      <c r="B15" s="37" t="s">
        <v>84</v>
      </c>
      <c r="C15" s="86" t="s">
        <v>109</v>
      </c>
      <c r="D15" s="35">
        <v>0.1</v>
      </c>
      <c r="E15" s="30"/>
      <c r="F15" s="28" t="s">
        <v>110</v>
      </c>
      <c r="G15" s="5"/>
      <c r="H15" s="5"/>
      <c r="I15" s="5"/>
      <c r="J15" s="5"/>
      <c r="K15" s="5"/>
      <c r="L15" s="5"/>
    </row>
    <row r="16" spans="1:17" s="2" customFormat="1" ht="27" customHeight="1" x14ac:dyDescent="0.35">
      <c r="A16" s="3">
        <v>8</v>
      </c>
      <c r="B16" s="36" t="s">
        <v>80</v>
      </c>
      <c r="C16" s="85" t="s">
        <v>81</v>
      </c>
      <c r="D16" s="10">
        <v>0.05</v>
      </c>
      <c r="E16" s="30"/>
      <c r="F16" s="38">
        <v>1</v>
      </c>
      <c r="G16" s="5">
        <v>0</v>
      </c>
      <c r="H16" s="5">
        <v>0</v>
      </c>
      <c r="I16" s="5">
        <v>0</v>
      </c>
      <c r="J16" s="5">
        <v>0</v>
      </c>
      <c r="K16" s="5">
        <f t="shared" si="2"/>
        <v>0</v>
      </c>
      <c r="L16" s="5">
        <f t="shared" si="3"/>
        <v>0</v>
      </c>
    </row>
    <row r="17" spans="3:12" x14ac:dyDescent="0.35">
      <c r="C17" s="87"/>
      <c r="D17" s="12">
        <f>SUM(D4:D16)</f>
        <v>1</v>
      </c>
      <c r="L17" s="12">
        <f>SUM(L4:L16)</f>
        <v>0</v>
      </c>
    </row>
  </sheetData>
  <mergeCells count="14">
    <mergeCell ref="M2:N2"/>
    <mergeCell ref="O2:O3"/>
    <mergeCell ref="P2:P3"/>
    <mergeCell ref="Q2:Q3"/>
    <mergeCell ref="A3:A4"/>
    <mergeCell ref="A1:L1"/>
    <mergeCell ref="B10:B12"/>
    <mergeCell ref="A10:A12"/>
    <mergeCell ref="B6:B9"/>
    <mergeCell ref="A6:A9"/>
    <mergeCell ref="B3:B4"/>
    <mergeCell ref="G2:H2"/>
    <mergeCell ref="I2:J2"/>
    <mergeCell ref="K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Rating scale </vt:lpstr>
      <vt:lpstr>KRA  KPI -26-27</vt:lpstr>
      <vt:lpstr>KRA KPI Prod -26-27 </vt:lpstr>
      <vt:lpstr>KRA KPI QA -26-27  (2)</vt:lpstr>
      <vt:lpstr>KRA KPI Maint -26-27  (3)</vt:lpstr>
      <vt:lpstr>KRA KPI HR -26-27 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Samiya Khan</dc:creator>
  <cp:lastModifiedBy>Samiya Khan</cp:lastModifiedBy>
  <dcterms:created xsi:type="dcterms:W3CDTF">2015-06-05T18:17:20Z</dcterms:created>
  <dcterms:modified xsi:type="dcterms:W3CDTF">2026-06-02T11:20:21Z</dcterms:modified>
</cp:coreProperties>
</file>